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7a34981ce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ced173d8ee44e2"/>
    <x:sheet xmlns:r="http://schemas.openxmlformats.org/officeDocument/2006/relationships" name="Official Volume" sheetId="2" r:id="R961b446a615648ad"/>
    <x:sheet xmlns:r="http://schemas.openxmlformats.org/officeDocument/2006/relationships" name="Excise Revenue" sheetId="3" r:id="R2ee3daaeab13494e"/>
    <x:sheet xmlns:r="http://schemas.openxmlformats.org/officeDocument/2006/relationships" name="2025 Categories" sheetId="4" r:id="R16c118d86b004518"/>
    <x:sheet xmlns:r="http://schemas.openxmlformats.org/officeDocument/2006/relationships" name="KAS Controls" sheetId="5" r:id="R4f48101604c14c99"/>
    <x:sheet xmlns:r="http://schemas.openxmlformats.org/officeDocument/2006/relationships" name="2023 Revision" sheetId="6" r:id="R237ff6a2cdec4c37"/>
    <x:sheet xmlns:r="http://schemas.openxmlformats.org/officeDocument/2006/relationships" name="Reconciliation" sheetId="7" r:id="R2ae7693bdd9e45f6"/>
    <x:sheet xmlns:r="http://schemas.openxmlformats.org/officeDocument/2006/relationships" name="Eurostat Route" sheetId="8" r:id="R4e53ce4e53134d79"/>
    <x:sheet xmlns:r="http://schemas.openxmlformats.org/officeDocument/2006/relationships" name="Sources" sheetId="9" r:id="R8151df1481c8491b"/>
    <x:sheet xmlns:r="http://schemas.openxmlformats.org/officeDocument/2006/relationships" name="Open Data Gaps" sheetId="10" r:id="R37145f00e108458d"/>
  </x:sheets>
</x:workbook>
</file>

<file path=xl/comments1.xml><?xml version="1.0" encoding="utf-8"?>
<x:comments xmlns:x="http://schemas.openxmlformats.org/spreadsheetml/2006/main">
  <x:authors>
    <x:author>tc={694028F7-83C3-4D53-17A4-3BA35639AAEE}</x:author>
    <x:author>tc={62A800EC-7227-5CF2-EACD-272BAC5CD57B}</x:author>
    <x:author>tc={A22CBA02-E38A-7CC5-E29F-F00E85593A19}</x:author>
    <x:author>tc={75377160-286D-8392-7408-F1C691F4E55C}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https://api.sejm.gov.pl/sejm/term10/interpellations/attachment/ATTDDEJZ5/i07255-o1.pdf. Later 2023 release; ZEFIR2 / IAS Krakow / AIS.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https://api.sejm.gov.pl/sejm/term10/interpellations/attachment/ATTDVKHSJ/i17526-o1.pdf. Multiple 2025 rates and disposable surcharge apply.</x:t>
        </x:r>
      </x:text>
    </x:comment>
    <x:comment ref="B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https://www.gov.pl/web/kas/kas-zwalcza-oszustwa-zwiazane-z-rynkiem-e-papierosow. Targeted-control irregularity rate, not market share.</x:t>
        </x:r>
      </x:text>
    </x:comment>
    <x:comment ref="B1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c.europa.eu/eurostat/api/comext/dissemination/statistics/1.0/data/DS-045409?freq=A&amp;reporter=P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. CN 24041200 is a broad proxy.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00%"/>
    <x:numFmt numFmtId="202" formatCode="#,##0.000;[Red](#,##0.000);-"/>
    <x:numFmt numFmtId="203" formatCode="0.0;[Red](0.0);-"/>
    <x:numFmt numFmtId="204" formatCode="#,##0.00;[Red](#,##0.00);-"/>
  </x:numFmts>
  <x:fonts count="17">
    <x:font>
      <x:sz val="11"/>
      <x:name val="Carlito"/>
    </x:font>
    <x:font>
      <x:b/>
      <x:sz val="20"/>
      <x:color rgb="FFFFFFFF"/>
      <x:name val="Arial"/>
    </x:font>
    <x:font>
      <x:i/>
      <x:sz val="11"/>
      <x:color rgb="FF10243E"/>
      <x:name val="Arial"/>
    </x:font>
    <x:font>
      <x:b/>
      <x:sz val="11"/>
      <x:color rgb="FFFFFFFF"/>
      <x:name val="Arial"/>
    </x:font>
    <x:font>
      <x:b/>
      <x:sz val="11"/>
      <x:color rgb="FF10243E"/>
      <x:name val="Carlito"/>
    </x:font>
    <x:font>
      <x:b/>
      <x:sz val="11"/>
      <x:color rgb="FF000000"/>
      <x:name val="Carlito"/>
    </x:font>
    <x:font>
      <x:sz val="11"/>
      <x:color rgb="FF667085"/>
      <x:name val="Carlito"/>
    </x:font>
    <x:font>
      <x:b/>
      <x:sz val="11"/>
      <x:color rgb="FF1F7A4D"/>
      <x:name val="Carlito"/>
    </x:font>
    <x:font>
      <x:b/>
      <x:sz val="11"/>
      <x:color rgb="FFFFFFFF"/>
      <x:name val="Carlito"/>
    </x:font>
    <x:font>
      <x:b/>
      <x:sz val="11"/>
      <x:color rgb="FFC89425"/>
      <x:name val="Carlito"/>
    </x:font>
    <x:font>
      <x:sz val="11"/>
      <x:name val="Arial"/>
    </x:font>
    <x:font>
      <x:b/>
      <x:sz val="11"/>
      <x:color rgb="FF10243E"/>
      <x:name val="Arial"/>
    </x:font>
    <x:font>
      <x:b/>
      <x:sz val="11"/>
      <x:color rgb="FF000000"/>
      <x:name val="Arial"/>
    </x:font>
    <x:font>
      <x:sz val="11"/>
      <x:color rgb="FF667085"/>
      <x:name val="Arial"/>
    </x:font>
    <x:font>
      <x:b/>
      <x:sz val="11"/>
      <x:color rgb="FF1F7A4D"/>
      <x:name val="Arial"/>
    </x:font>
    <x:font>
      <x:b/>
      <x:sz val="11"/>
      <x:color rgb="FFC89425"/>
      <x:name val="Arial"/>
    </x:font>
    <x:font>
      <x:sz val="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AF1FB"/>
      </x:patternFill>
    </x:fill>
    <x:fill>
      <x:patternFill patternType="solid">
        <x:fgColor rgb="FF2457A7"/>
      </x:patternFill>
    </x:fill>
    <x:fill>
      <x:patternFill patternType="solid">
        <x:fgColor rgb="FFE7F5ED"/>
      </x:patternFill>
    </x:fill>
    <x:fill>
      <x:patternFill patternType="solid">
        <x:fgColor rgb="FFFFF5D8"/>
      </x:patternFill>
    </x:fill>
    <x:fill>
      <x:patternFill patternType="solid">
        <x:fgColor rgb="FFC89425"/>
      </x:patternFill>
    </x:fill>
    <x:fill>
      <x:patternFill patternType="solid">
        <x:fgColor rgb="FFFFFFFF"/>
      </x:patternFill>
    </x:fill>
  </x:fills>
  <x:borders count="15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medium">
        <x:color rgb="FF1F7A4D"/>
      </x:left>
      <x:top style="medium">
        <x:color rgb="FF1F7A4D"/>
      </x:top>
      <x:bottom style="medium">
        <x:color rgb="FF1F7A4D"/>
      </x:bottom>
    </x:border>
    <x:border>
      <x:right style="medium">
        <x:color rgb="FF1F7A4D"/>
      </x:right>
      <x:top style="medium">
        <x:color rgb="FF1F7A4D"/>
      </x:top>
      <x:bottom style="medium">
        <x:color rgb="FF1F7A4D"/>
      </x:bottom>
    </x:border>
    <x:border>
      <x:right style="thin">
        <x:color rgb="FF36506D"/>
      </x:right>
    </x:border>
    <x:border>
      <x:left style="thin">
        <x:color rgb="FF36506D"/>
      </x:left>
      <x:right style="thin">
        <x:color rgb="FF36506D"/>
      </x:right>
    </x:border>
    <x:border>
      <x:left style="thin">
        <x:color rgb="FF36506D"/>
      </x:left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5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8" fillId="2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5" xfId="0" applyNumberFormat="1" applyFont="1" applyFill="1" applyBorder="1"/>
    <x:xf numFmtId="0" fontId="0" fillId="6" borderId="8" xfId="0" applyNumberFormat="1" applyFont="1" applyFill="1" applyBorder="1"/>
    <x:xf numFmtId="0" fontId="9" fillId="6" borderId="8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0" borderId="1" xfId="0" applyNumberFormat="1" applyFont="1" applyFill="1" applyBorder="1" applyAlignment="1">
      <x:alignment vertical="center"/>
    </x:xf>
    <x:xf numFmtId="200" fontId="12" fillId="0" borderId="2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vertical="center" wrapText="1"/>
    </x:xf>
    <x:xf numFmtId="0" fontId="13" fillId="0" borderId="3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/>
    </x:xf>
    <x:xf numFmtId="200" fontId="12" fillId="0" borderId="5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3" fillId="0" borderId="5" xfId="0" applyNumberFormat="1" applyFont="1" applyFill="1" applyBorder="1" applyAlignment="1">
      <x:alignment vertical="center" wrapText="1"/>
    </x:xf>
    <x:xf numFmtId="0" fontId="13" fillId="0" borderId="6" xfId="0" applyNumberFormat="1" applyFont="1" applyFill="1" applyBorder="1" applyAlignment="1">
      <x:alignment vertical="center" wrapText="1"/>
    </x:xf>
    <x:xf numFmtId="201" fontId="12" fillId="0" borderId="5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  <x:xf numFmtId="200" fontId="12" fillId="0" borderId="8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/>
    </x:xf>
    <x:xf numFmtId="0" fontId="13" fillId="0" borderId="8" xfId="0" applyNumberFormat="1" applyFont="1" applyFill="1" applyBorder="1" applyAlignment="1">
      <x:alignment vertical="center" wrapText="1"/>
    </x:xf>
    <x:xf numFmtId="0" fontId="13" fillId="0" borderId="9" xfId="0" applyNumberFormat="1" applyFont="1" applyFill="1" applyBorder="1" applyAlignment="1">
      <x:alignment vertical="center" wrapText="1"/>
    </x:xf>
    <x:xf numFmtId="0" fontId="14" fillId="5" borderId="10" xfId="0" applyNumberFormat="1" applyFont="1" applyFill="1" applyBorder="1"/>
    <x:xf numFmtId="0" fontId="14" fillId="5" borderId="11" xfId="0" applyNumberFormat="1" applyFont="1" applyFill="1" applyBorder="1"/>
    <x:xf numFmtId="0" fontId="3" fillId="2" borderId="0" xfId="0" applyNumberFormat="1" applyFont="1" applyFill="1" applyBorder="1"/>
    <x:xf numFmtId="0" fontId="10" fillId="0" borderId="1" xfId="0" applyNumberFormat="1" applyFont="1" applyFill="1" applyBorder="1"/>
    <x:xf numFmtId="201" fontId="10" fillId="0" borderId="2" xfId="0" applyNumberFormat="1" applyFont="1" applyFill="1" applyBorder="1"/>
    <x:xf numFmtId="0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202" fontId="10" fillId="0" borderId="5" xfId="0" applyNumberFormat="1" applyFont="1" applyFill="1" applyBorder="1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201" fontId="10" fillId="0" borderId="5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0" fontId="15" fillId="6" borderId="8" xfId="0" applyNumberFormat="1" applyFont="1" applyFill="1" applyBorder="1"/>
    <x:xf numFmtId="0" fontId="10" fillId="0" borderId="9" xfId="0" applyNumberFormat="1" applyFont="1" applyFill="1" applyBorder="1"/>
    <x:xf numFmtId="0" fontId="3" fillId="7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4" fillId="5" borderId="10" xfId="0" applyNumberFormat="1" applyFont="1" applyFill="1" applyBorder="1" applyAlignment="1">
      <x:alignment vertical="center"/>
    </x:xf>
    <x:xf numFmtId="0" fontId="14" fillId="5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201" fontId="10" fillId="0" borderId="2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202" fontId="10" fillId="0" borderId="5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201" fontId="10" fillId="0" borderId="5" xfId="0" applyNumberFormat="1" applyFont="1" applyFill="1" applyBorder="1" applyAlignment="1">
      <x:alignment vertical="center"/>
    </x:xf>
    <x:xf numFmtId="0" fontId="10" fillId="0" borderId="7" xfId="0" applyNumberFormat="1" applyFont="1" applyFill="1" applyBorder="1" applyAlignment="1">
      <x:alignment vertical="center"/>
    </x:xf>
    <x:xf numFmtId="0" fontId="15" fillId="6" borderId="8" xfId="0" applyNumberFormat="1" applyFont="1" applyFill="1" applyBorder="1" applyAlignment="1">
      <x:alignment vertical="center"/>
    </x:xf>
    <x:xf numFmtId="0" fontId="10" fillId="0" borderId="9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vertical="center" wrapText="1"/>
    </x:xf>
    <x:xf numFmtId="0" fontId="3" fillId="2" borderId="13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1" xfId="0" applyNumberFormat="1" applyFont="1" applyFill="1" applyBorder="1"/>
    <x:xf numFmtId="0" fontId="16" fillId="0" borderId="2" xfId="0" applyNumberFormat="1" applyFont="1" applyFill="1" applyBorder="1"/>
    <x:xf numFmtId="0" fontId="16" fillId="0" borderId="3" xfId="0" applyNumberFormat="1" applyFont="1" applyFill="1" applyBorder="1"/>
    <x:xf numFmtId="0" fontId="16" fillId="0" borderId="4" xfId="0" applyNumberFormat="1" applyFont="1" applyFill="1" applyBorder="1"/>
    <x:xf numFmtId="0" fontId="16" fillId="0" borderId="5" xfId="0" applyNumberFormat="1" applyFont="1" applyFill="1" applyBorder="1"/>
    <x:xf numFmtId="0" fontId="16" fillId="0" borderId="6" xfId="0" applyNumberFormat="1" applyFont="1" applyFill="1" applyBorder="1"/>
    <x:xf numFmtId="0" fontId="16" fillId="0" borderId="7" xfId="0" applyNumberFormat="1" applyFont="1" applyFill="1" applyBorder="1"/>
    <x:xf numFmtId="0" fontId="16" fillId="0" borderId="8" xfId="0" applyNumberFormat="1" applyFont="1" applyFill="1" applyBorder="1"/>
    <x:xf numFmtId="0" fontId="16" fillId="0" borderId="9" xfId="0" applyNumberFormat="1" applyFont="1" applyFill="1" applyBorder="1"/>
    <x:xf numFmtId="0" fontId="16" fillId="0" borderId="1" xfId="0" applyNumberFormat="1" applyFont="1" applyFill="1" applyBorder="1" applyAlignment="1">
      <x:alignment vertical="top"/>
    </x:xf>
    <x:xf numFmtId="0" fontId="16" fillId="0" borderId="2" xfId="0" applyNumberFormat="1" applyFont="1" applyFill="1" applyBorder="1" applyAlignment="1">
      <x:alignment vertical="top"/>
    </x:xf>
    <x:xf numFmtId="0" fontId="16" fillId="0" borderId="3" xfId="0" applyNumberFormat="1" applyFont="1" applyFill="1" applyBorder="1" applyAlignment="1">
      <x:alignment vertical="top"/>
    </x:xf>
    <x:xf numFmtId="0" fontId="16" fillId="0" borderId="4" xfId="0" applyNumberFormat="1" applyFont="1" applyFill="1" applyBorder="1" applyAlignment="1">
      <x:alignment vertical="top"/>
    </x:xf>
    <x:xf numFmtId="0" fontId="16" fillId="0" borderId="5" xfId="0" applyNumberFormat="1" applyFont="1" applyFill="1" applyBorder="1" applyAlignment="1">
      <x:alignment vertical="top"/>
    </x:xf>
    <x:xf numFmtId="0" fontId="16" fillId="0" borderId="6" xfId="0" applyNumberFormat="1" applyFont="1" applyFill="1" applyBorder="1" applyAlignment="1">
      <x:alignment vertical="top"/>
    </x:xf>
    <x:xf numFmtId="0" fontId="16" fillId="0" borderId="7" xfId="0" applyNumberFormat="1" applyFont="1" applyFill="1" applyBorder="1" applyAlignment="1">
      <x:alignment vertical="top"/>
    </x:xf>
    <x:xf numFmtId="0" fontId="16" fillId="0" borderId="8" xfId="0" applyNumberFormat="1" applyFont="1" applyFill="1" applyBorder="1" applyAlignment="1">
      <x:alignment vertical="top"/>
    </x:xf>
    <x:xf numFmtId="0" fontId="16" fillId="0" borderId="9" xfId="0" applyNumberFormat="1" applyFont="1" applyFill="1" applyBorder="1" applyAlignment="1">
      <x:alignment vertical="top"/>
    </x:xf>
    <x:xf numFmtId="0" fontId="16" fillId="0" borderId="1" xfId="0" applyNumberFormat="1" applyFont="1" applyFill="1" applyBorder="1" applyAlignment="1">
      <x:alignment vertical="top" wrapText="1"/>
    </x:xf>
    <x:xf numFmtId="0" fontId="16" fillId="0" borderId="2" xfId="0" applyNumberFormat="1" applyFont="1" applyFill="1" applyBorder="1" applyAlignment="1">
      <x:alignment vertical="top" wrapText="1"/>
    </x:xf>
    <x:xf numFmtId="0" fontId="16" fillId="0" borderId="3" xfId="0" applyNumberFormat="1" applyFont="1" applyFill="1" applyBorder="1" applyAlignment="1">
      <x:alignment vertical="top" wrapText="1"/>
    </x:xf>
    <x:xf numFmtId="0" fontId="16" fillId="0" borderId="4" xfId="0" applyNumberFormat="1" applyFont="1" applyFill="1" applyBorder="1" applyAlignment="1">
      <x:alignment vertical="top" wrapText="1"/>
    </x:xf>
    <x:xf numFmtId="0" fontId="16" fillId="0" borderId="5" xfId="0" applyNumberFormat="1" applyFont="1" applyFill="1" applyBorder="1" applyAlignment="1">
      <x:alignment vertical="top" wrapText="1"/>
    </x:xf>
    <x:xf numFmtId="0" fontId="16" fillId="0" borderId="6" xfId="0" applyNumberFormat="1" applyFont="1" applyFill="1" applyBorder="1" applyAlignment="1">
      <x:alignment vertical="top" wrapText="1"/>
    </x:xf>
    <x:xf numFmtId="0" fontId="16" fillId="0" borderId="7" xfId="0" applyNumberFormat="1" applyFont="1" applyFill="1" applyBorder="1" applyAlignment="1">
      <x:alignment vertical="top" wrapText="1"/>
    </x:xf>
    <x:xf numFmtId="0" fontId="16" fillId="0" borderId="8" xfId="0" applyNumberFormat="1" applyFont="1" applyFill="1" applyBorder="1" applyAlignment="1">
      <x:alignment vertical="top" wrapText="1"/>
    </x:xf>
    <x:xf numFmtId="0" fontId="16" fillId="0" borderId="9" xfId="0" applyNumberFormat="1" applyFont="1" applyFill="1" applyBorder="1" applyAlignment="1">
      <x:alignment vertical="top" wrapText="1"/>
    </x:xf>
    <x:xf numFmtId="200" fontId="16" fillId="0" borderId="2" xfId="0" applyNumberFormat="1" applyFont="1" applyFill="1" applyBorder="1" applyAlignment="1">
      <x:alignment vertical="top" wrapText="1"/>
    </x:xf>
    <x:xf numFmtId="200" fontId="16" fillId="0" borderId="5" xfId="0" applyNumberFormat="1" applyFont="1" applyFill="1" applyBorder="1" applyAlignment="1">
      <x:alignment vertical="top" wrapText="1"/>
    </x:xf>
    <x:xf numFmtId="200" fontId="16" fillId="0" borderId="8" xfId="0" applyNumberFormat="1" applyFont="1" applyFill="1" applyBorder="1" applyAlignment="1">
      <x:alignment vertical="top" wrapText="1"/>
    </x:xf>
    <x:xf numFmtId="203" fontId="16" fillId="0" borderId="2" xfId="0" applyNumberFormat="1" applyFont="1" applyFill="1" applyBorder="1" applyAlignment="1">
      <x:alignment vertical="top" wrapText="1"/>
    </x:xf>
    <x:xf numFmtId="203" fontId="16" fillId="0" borderId="5" xfId="0" applyNumberFormat="1" applyFont="1" applyFill="1" applyBorder="1" applyAlignment="1">
      <x:alignment vertical="top" wrapText="1"/>
    </x:xf>
    <x:xf numFmtId="203" fontId="16" fillId="0" borderId="8" xfId="0" applyNumberFormat="1" applyFont="1" applyFill="1" applyBorder="1" applyAlignment="1">
      <x:alignment vertical="top" wrapText="1"/>
    </x:xf>
    <x:xf numFmtId="201" fontId="16" fillId="0" borderId="2" xfId="0" applyNumberFormat="1" applyFont="1" applyFill="1" applyBorder="1" applyAlignment="1">
      <x:alignment vertical="top" wrapText="1"/>
    </x:xf>
    <x:xf numFmtId="201" fontId="16" fillId="0" borderId="5" xfId="0" applyNumberFormat="1" applyFont="1" applyFill="1" applyBorder="1" applyAlignment="1">
      <x:alignment vertical="top" wrapText="1"/>
    </x:xf>
    <x:xf numFmtId="201" fontId="16" fillId="0" borderId="8" xfId="0" applyNumberFormat="1" applyFont="1" applyFill="1" applyBorder="1" applyAlignment="1">
      <x:alignment vertical="top" wrapText="1"/>
    </x:xf>
    <x:xf numFmtId="202" fontId="16" fillId="0" borderId="2" xfId="0" applyNumberFormat="1" applyFont="1" applyFill="1" applyBorder="1" applyAlignment="1">
      <x:alignment vertical="top" wrapText="1"/>
    </x:xf>
    <x:xf numFmtId="202" fontId="16" fillId="0" borderId="8" xfId="0" applyNumberFormat="1" applyFont="1" applyFill="1" applyBorder="1" applyAlignment="1">
      <x:alignment vertical="top" wrapText="1"/>
    </x:xf>
    <x:xf numFmtId="204" fontId="16" fillId="0" borderId="2" xfId="0" applyNumberFormat="1" applyFont="1" applyFill="1" applyBorder="1" applyAlignment="1">
      <x:alignment vertical="top" wrapText="1"/>
    </x:xf>
    <x:xf numFmtId="204" fontId="16" fillId="0" borderId="5" xfId="0" applyNumberFormat="1" applyFont="1" applyFill="1" applyBorder="1" applyAlignment="1">
      <x:alignment vertical="top" wrapText="1"/>
    </x:xf>
    <x:xf numFmtId="204" fontId="16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F7A4D"/>
      </x:font>
      <x:fill>
        <x:patternFill patternType="solid">
          <x:bgColor rgb="FFE7F5E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f01ac8ff9427f" /><Relationship Type="http://schemas.openxmlformats.org/officeDocument/2006/relationships/theme" Target="/xl/theme/theme1.xml" Id="Ra092be69830a45f4" /><Relationship Type="http://schemas.openxmlformats.org/officeDocument/2006/relationships/sharedStrings" Target="/xl/sharedStrings.xml" Id="R68de7cc506af4cbe" /><Relationship Type="http://schemas.openxmlformats.org/officeDocument/2006/relationships/worksheet" Target="/xl/worksheets/sheet1.xml" Id="R01ced173d8ee44e2" /><Relationship Type="http://schemas.openxmlformats.org/officeDocument/2006/relationships/worksheet" Target="/xl/worksheets/sheet2.xml" Id="R961b446a615648ad" /><Relationship Type="http://schemas.openxmlformats.org/officeDocument/2006/relationships/worksheet" Target="/xl/worksheets/sheet3.xml" Id="R2ee3daaeab13494e" /><Relationship Type="http://schemas.openxmlformats.org/officeDocument/2006/relationships/worksheet" Target="/xl/worksheets/sheet4.xml" Id="R16c118d86b004518" /><Relationship Type="http://schemas.openxmlformats.org/officeDocument/2006/relationships/worksheet" Target="/xl/worksheets/sheet5.xml" Id="R4f48101604c14c99" /><Relationship Type="http://schemas.openxmlformats.org/officeDocument/2006/relationships/worksheet" Target="/xl/worksheets/sheet6.xml" Id="R237ff6a2cdec4c37" /><Relationship Type="http://schemas.openxmlformats.org/officeDocument/2006/relationships/worksheet" Target="/xl/worksheets/sheet7.xml" Id="R2ae7693bdd9e45f6" /><Relationship Type="http://schemas.openxmlformats.org/officeDocument/2006/relationships/worksheet" Target="/xl/worksheets/sheet8.xml" Id="R4e53ce4e53134d79" /><Relationship Type="http://schemas.openxmlformats.org/officeDocument/2006/relationships/worksheet" Target="/xl/worksheets/sheet9.xml" Id="R8151df1481c8491b" /><Relationship Type="http://schemas.openxmlformats.org/officeDocument/2006/relationships/worksheet" Target="/xl/worksheets/sheet10.xml" Id="R37145f00e108458d" /><Relationship Type="http://schemas.microsoft.com/office/2017/10/relationships/person" Target="/xl/persons/person.xml" Id="R404401e9dcd84633" /></Relationships>
</file>

<file path=xl/persons/person.xml><?xml version="1.0" encoding="utf-8"?>
<xltc:personList xmlns:xltc="http://schemas.microsoft.com/office/spreadsheetml/2018/threadedcomments">
  <xltc:person displayName="Pixan evidence audit" id="{769266CC-84E7-4BB6-874C-4AE2B74C85C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7-17T12:32:18.798" personId="{769266CC-84E7-4BB6-874C-4AE2B74C85C7}" id="{694028F7-83C3-4D53-17A4-3BA35639AAEE}">
    <xltc:text>Source: https://api.sejm.gov.pl/sejm/term10/interpellations/attachment/ATTDDEJZ5/i07255-o1.pdf. Later 2023 release; ZEFIR2 / IAS Krakow / AIS.</xltc:text>
  </xltc:threadedComment>
  <xltc:threadedComment ref="B8" dT="2026-07-17T12:32:18.798" personId="{769266CC-84E7-4BB6-874C-4AE2B74C85C7}" id="{62A800EC-7227-5CF2-EACD-272BAC5CD57B}">
    <xltc:text>Source: https://api.sejm.gov.pl/sejm/term10/interpellations/attachment/ATTDVKHSJ/i17526-o1.pdf. Multiple 2025 rates and disposable surcharge apply.</xltc:text>
  </xltc:threadedComment>
  <xltc:threadedComment ref="B10" dT="2026-07-17T12:32:18.798" personId="{769266CC-84E7-4BB6-874C-4AE2B74C85C7}" id="{A22CBA02-E38A-7CC5-E29F-F00E85593A19}">
    <xltc:text>Source: https://www.gov.pl/web/kas/kas-zwalcza-oszustwa-zwiazane-z-rynkiem-e-papierosow. Targeted-control irregularity rate, not market share.</xltc:text>
  </xltc:threadedComment>
  <xltc:threadedComment ref="B11" dT="2026-07-17T12:32:18.798" personId="{769266CC-84E7-4BB6-874C-4AE2B74C85C7}" id="{75377160-286D-8392-7408-F1C691F4E55C}">
    <xltc:text>Source: https://ec.europa.eu/eurostat/api/comext/dissemination/statistics/1.0/data/DS-045409?freq=A&amp;reporter=P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. CN 24041200 is a broad proxy.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e7373c71fa44b1b" /><Relationship Type="http://schemas.openxmlformats.org/officeDocument/2006/relationships/vmlDrawing" Target="/xl/drawings/vmldrawing.vml" Id="R5d32edd0f00843ee" /><Relationship Type="http://schemas.microsoft.com/office/2017/10/relationships/threadedComment" Target="/xl/threadedcomments/threadedcomment.xml" Id="R4ad8cffa46144e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Pixan | Poland official evidence workbook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106" t="str">
        <x:v>Official excise flow and revenue, KAS enforcement audit and Eurostat routing | as of 2026-07-17</x:v>
      </x:c>
      <x:c r="B3" s="106"/>
      <x:c r="C3" s="106"/>
      <x:c r="D3" s="106"/>
      <x:c r="E3" s="106"/>
      <x:c r="F3" s="106"/>
      <x:c r="G3" s="106"/>
      <x:c r="H3" s="106"/>
    </x:row>
    <x:row r="4">
      <x:c r="A4" s="107"/>
      <x:c r="B4" s="107"/>
      <x:c r="C4" s="107"/>
      <x:c r="D4" s="107"/>
      <x:c r="E4" s="107"/>
      <x:c r="F4" s="107"/>
      <x:c r="G4" s="107"/>
      <x:c r="H4" s="107"/>
    </x:row>
    <x:row r="5">
      <x:c r="A5" s="108" t="str">
        <x:v>Key evidence</x:v>
      </x:c>
      <x:c r="B5" s="108" t="str">
        <x:v>Value</x:v>
      </x:c>
      <x:c r="C5" s="108" t="str">
        <x:v>Unit</x:v>
      </x:c>
      <x:c r="D5" s="108" t="str">
        <x:v>Interpretation</x:v>
      </x:c>
      <x:c r="E5" s="108"/>
      <x:c r="F5" s="108"/>
      <x:c r="G5" s="108"/>
      <x:c r="H5" s="108"/>
    </x:row>
    <x:row r="6" ht="34" customHeight="1">
      <x:c r="A6" s="71" t="str">
        <x:v>2023 official e-liquid flow (later release)</x:v>
      </x:c>
      <x:c r="B6" s="72" t="n">
        <x:f>'Official Volume'!B5</x:f>
        <x:v>805441</x:v>
      </x:c>
      <x:c r="C6" s="73" t="str">
        <x:v>litres</x:v>
      </x:c>
      <x:c r="D6" s="74" t="str">
        <x:v>Domestic + intra-EU + import excise flow; not retail sell-out.</x:v>
      </x:c>
      <x:c r="E6" s="74"/>
      <x:c r="F6" s="74"/>
      <x:c r="G6" s="74"/>
      <x:c r="H6" s="75"/>
    </x:row>
    <x:row r="7" ht="34" customHeight="1">
      <x:c r="A7" s="76" t="str">
        <x:v>2023 official e-liquid excise revenue</x:v>
      </x:c>
      <x:c r="B7" s="77" t="n">
        <x:f>'Excise Revenue'!B4</x:f>
        <x:v>443600000</x:v>
      </x:c>
      <x:c r="C7" s="78" t="str">
        <x:v>PLN</x:v>
      </x:c>
      <x:c r="D7" s="79" t="str">
        <x:v>Official excise revenue; preliminary when published in April 2024.</x:v>
      </x:c>
      <x:c r="E7" s="79"/>
      <x:c r="F7" s="79"/>
      <x:c r="G7" s="79"/>
      <x:c r="H7" s="80"/>
    </x:row>
    <x:row r="8" ht="34" customHeight="1">
      <x:c r="A8" s="76" t="str">
        <x:v>2025 official e-liquid excise revenue</x:v>
      </x:c>
      <x:c r="B8" s="77" t="n">
        <x:f>'Excise Revenue'!B6</x:f>
        <x:v>993100000</x:v>
      </x:c>
      <x:c r="C8" s="78" t="str">
        <x:v>PLN</x:v>
      </x:c>
      <x:c r="D8" s="79" t="str">
        <x:v>Actual excise; multiple rates block a one-rate volume conversion.</x:v>
      </x:c>
      <x:c r="E8" s="79"/>
      <x:c r="F8" s="79"/>
      <x:c r="G8" s="79"/>
      <x:c r="H8" s="80"/>
    </x:row>
    <x:row r="9" ht="34" customHeight="1">
      <x:c r="A9" s="76" t="str">
        <x:v>2025 vaporisation-device excise revenue</x:v>
      </x:c>
      <x:c r="B9" s="77" t="n">
        <x:f>'2025 Categories'!D3*1000000</x:f>
        <x:v>175300000</x:v>
      </x:c>
      <x:c r="C9" s="78" t="str">
        <x:v>PLN</x:v>
      </x:c>
      <x:c r="D9" s="79" t="str">
        <x:v>Actual device excise; PLN 40 division is not an official unit count.</x:v>
      </x:c>
      <x:c r="E9" s="79"/>
      <x:c r="F9" s="79"/>
      <x:c r="G9" s="79"/>
      <x:c r="H9" s="80"/>
    </x:row>
    <x:row r="10" ht="34" customHeight="1">
      <x:c r="A10" s="76" t="str">
        <x:v>KAS 2025 targeted-control irregularity rate</x:v>
      </x:c>
      <x:c r="B10" s="81" t="n">
        <x:f>'KAS Controls'!D5</x:f>
        <x:v>0.36006826</x:v>
      </x:c>
      <x:c r="C10" s="78" t="str">
        <x:v>%</x:v>
      </x:c>
      <x:c r="D10" s="79" t="str">
        <x:v>422 / 1,172 targeted controls; not market share.</x:v>
      </x:c>
      <x:c r="E10" s="79"/>
      <x:c r="F10" s="79"/>
      <x:c r="G10" s="79"/>
      <x:c r="H10" s="80"/>
    </x:row>
    <x:row r="11" ht="34" customHeight="1">
      <x:c r="A11" s="82" t="str">
        <x:v>2025 narrow CN8 WORLD imports</x:v>
      </x:c>
      <x:c r="B11" s="83" t="n">
        <x:f>'Eurostat Route'!D2+'Eurostat Route'!D3</x:f>
        <x:v>210579736</x:v>
      </x:c>
      <x:c r="C11" s="84" t="str">
        <x:v>EUR</x:v>
      </x:c>
      <x:c r="D11" s="85" t="str">
        <x:v>Device code + broad nicotine proxy; trade, not domestic sales.</x:v>
      </x:c>
      <x:c r="E11" s="85"/>
      <x:c r="F11" s="85"/>
      <x:c r="G11" s="85"/>
      <x:c r="H11" s="86"/>
    </x:row>
    <x:row r="12">
      <x:c r="A12" s="107"/>
      <x:c r="B12" s="107"/>
      <x:c r="C12" s="107"/>
      <x:c r="D12" s="107"/>
      <x:c r="E12" s="107"/>
      <x:c r="F12" s="107"/>
      <x:c r="G12" s="107"/>
      <x:c r="H12" s="107"/>
    </x:row>
    <x:row r="13">
      <x:c r="A13" s="109" t="str">
        <x:v>Model status</x:v>
      </x:c>
      <x:c r="B13" s="110" t="str">
        <x:f>IF(COUNTIF(F16:F20,"REVIEW")=0,"OK","REVIEW")</x:f>
        <x:v>OK</x:v>
      </x:c>
      <x:c r="C13" s="107"/>
      <x:c r="D13" s="107"/>
      <x:c r="E13" s="107"/>
      <x:c r="F13" s="107"/>
      <x:c r="G13" s="107"/>
      <x:c r="H13" s="107"/>
    </x:row>
    <x:row r="14">
      <x:c r="A14" s="107"/>
      <x:c r="B14" s="107"/>
      <x:c r="C14" s="107"/>
      <x:c r="D14" s="107"/>
      <x:c r="E14" s="107"/>
      <x:c r="F14" s="107"/>
      <x:c r="G14" s="107"/>
      <x:c r="H14" s="107"/>
    </x:row>
    <x:row r="15">
      <x:c r="A15" s="111" t="str">
        <x:v>Audit check</x:v>
      </x:c>
      <x:c r="B15" s="111" t="str">
        <x:v>Actual</x:v>
      </x:c>
      <x:c r="C15" s="111" t="str">
        <x:v>Expected</x:v>
      </x:c>
      <x:c r="D15" s="111" t="str">
        <x:v>Difference</x:v>
      </x:c>
      <x:c r="E15" s="111" t="str">
        <x:v>Tolerance</x:v>
      </x:c>
      <x:c r="F15" s="111" t="str">
        <x:v>Status</x:v>
      </x:c>
      <x:c r="G15" s="111" t="str">
        <x:v>Meaning</x:v>
      </x:c>
      <x:c r="H15" s="111"/>
    </x:row>
    <x:row r="16" ht="30" customHeight="1">
      <x:c r="A16" s="112" t="str">
        <x:v>2023 volume × PLN 0.55 versus official revenue</x:v>
      </x:c>
      <x:c r="B16" s="113" t="n">
        <x:f>ABS('Reconciliation'!F4/'Reconciliation'!E4)</x:f>
        <x:v>0.0013693642921550947</x:v>
      </x:c>
      <x:c r="C16" s="113" t="n">
        <x:v>0</x:v>
      </x:c>
      <x:c r="D16" s="113" t="n">
        <x:f>B16-C16</x:f>
        <x:v>0.0013693642921550947</x:v>
      </x:c>
      <x:c r="E16" s="113" t="n">
        <x:v>0.005</x:v>
      </x:c>
      <x:c r="F16" s="73" t="str">
        <x:f>IF(ABS(D16)&lt;=E16,"OK","REVIEW")</x:f>
        <x:v>OK</x:v>
      </x:c>
      <x:c r="G16" s="73" t="str">
        <x:v>Revenue-gap plausibility check only.</x:v>
      </x:c>
      <x:c r="H16" s="114"/>
    </x:row>
    <x:row r="17" ht="30" customHeight="1">
      <x:c r="A17" s="115" t="str">
        <x:v>2023 later minus earlier release</x:v>
      </x:c>
      <x:c r="B17" s="116" t="n">
        <x:f>'2023 Revision'!C3-'2023 Revision'!C2</x:f>
        <x:v>-78200334.20000005</x:v>
      </x:c>
      <x:c r="C17" s="116" t="n">
        <x:v>-78200334.2</x:v>
      </x:c>
      <x:c r="D17" s="116" t="n">
        <x:f>B17-C17</x:f>
        <x:v>-4.470348358154297e-8</x:v>
      </x:c>
      <x:c r="E17" s="116" t="n">
        <x:v>0.1</x:v>
      </x:c>
      <x:c r="F17" s="78" t="str">
        <x:f>IF(ABS(D17)&lt;=E17,"OK","REVIEW")</x:f>
        <x:v>OK</x:v>
      </x:c>
      <x:c r="G17" s="78" t="str">
        <x:v>Explicit revision; reason requested.</x:v>
      </x:c>
      <x:c r="H17" s="117"/>
    </x:row>
    <x:row r="18" ht="30" customHeight="1">
      <x:c r="A18" s="115" t="str">
        <x:v>Eurostat narrow WORLD less intra + extra</x:v>
      </x:c>
      <x:c r="B18" s="116" t="n">
        <x:f>('Eurostat Route'!D2+'Eurostat Route'!D3)-('Eurostat Route'!E2+'Eurostat Route'!E3)-('Eurostat Route'!F2+'Eurostat Route'!F3)</x:f>
        <x:v>0</x:v>
      </x:c>
      <x:c r="C18" s="116" t="n">
        <x:v>0</x:v>
      </x:c>
      <x:c r="D18" s="116" t="n">
        <x:f>B18-C18</x:f>
        <x:v>0</x:v>
      </x:c>
      <x:c r="E18" s="116" t="n">
        <x:v>0</x:v>
      </x:c>
      <x:c r="F18" s="78" t="str">
        <x:f>IF(ABS(D18)&lt;=E18,"OK","REVIEW")</x:f>
        <x:v>OK</x:v>
      </x:c>
      <x:c r="G18" s="78" t="str">
        <x:v>Route components must reconcile.</x:v>
      </x:c>
      <x:c r="H18" s="117"/>
    </x:row>
    <x:row r="19" ht="30" customHeight="1">
      <x:c r="A19" s="115" t="str">
        <x:v>KAS 2021-2023 combined targeted hit rate</x:v>
      </x:c>
      <x:c r="B19" s="118" t="n">
        <x:f>SUM('KAS Controls'!C2:C4)/SUM('KAS Controls'!B2:B4)</x:f>
        <x:v>0.31509507178890184</x:v>
      </x:c>
      <x:c r="C19" s="118" t="n">
        <x:v>0.31509507</x:v>
      </x:c>
      <x:c r="D19" s="118" t="n">
        <x:f>B19-C19</x:f>
        <x:v>1.7889018599781537e-9</x:v>
      </x:c>
      <x:c r="E19" s="118" t="n">
        <x:v>1e-7</x:v>
      </x:c>
      <x:c r="F19" s="78" t="str">
        <x:f>IF(ABS(D19)&lt;=E19,"OK","REVIEW")</x:f>
        <x:v>OK</x:v>
      </x:c>
      <x:c r="G19" s="78" t="str">
        <x:v>812 irregularities / 2,577 controls.</x:v>
      </x:c>
      <x:c r="H19" s="117"/>
    </x:row>
    <x:row r="20" ht="30" customHeight="1">
      <x:c r="A20" s="115" t="str">
        <x:v>2025 e-liquid budget execution rate</x:v>
      </x:c>
      <x:c r="B20" s="118" t="n">
        <x:f>'2025 Categories'!F2</x:f>
        <x:v>0.86506969</x:v>
      </x:c>
      <x:c r="C20" s="118" t="n">
        <x:v>0.86506969</x:v>
      </x:c>
      <x:c r="D20" s="118" t="n">
        <x:f>B20-C20</x:f>
        <x:v>0</x:v>
      </x:c>
      <x:c r="E20" s="118" t="n">
        <x:v>1e-7</x:v>
      </x:c>
      <x:c r="F20" s="78" t="str">
        <x:f>IF(ABS(D20)&lt;=E20,"OK","REVIEW")</x:f>
        <x:v>OK</x:v>
      </x:c>
      <x:c r="G20" s="78" t="str">
        <x:v>PLN 993.1m actual / PLN 1,148.0m plan.</x:v>
      </x:c>
      <x:c r="H20" s="117"/>
    </x:row>
    <x:row r="21" ht="30" customHeight="1">
      <x:c r="A21" s="119" t="str">
        <x:v>2025 e-liquid volume from revenue</x:v>
      </x:c>
      <x:c r="B21" s="84"/>
      <x:c r="C21" s="84"/>
      <x:c r="D21" s="84"/>
      <x:c r="E21" s="84"/>
      <x:c r="F21" s="120" t="str">
        <x:v>LIMITATION</x:v>
      </x:c>
      <x:c r="G21" s="84" t="str">
        <x:v>Not calculated: multiple rates and surcharge.</x:v>
      </x:c>
      <x:c r="H21" s="121"/>
    </x:row>
    <x:row r="22">
      <x:c r="A22" s="107"/>
      <x:c r="B22" s="107"/>
      <x:c r="C22" s="107"/>
      <x:c r="D22" s="107"/>
      <x:c r="E22" s="107"/>
      <x:c r="F22" s="107"/>
      <x:c r="G22" s="107"/>
      <x:c r="H22" s="107"/>
    </x:row>
    <x:row r="23">
      <x:c r="A23" s="122" t="str">
        <x:v>Evidence boundary</x:v>
      </x:c>
      <x:c r="B23" s="122"/>
      <x:c r="C23" s="122"/>
      <x:c r="D23" s="122"/>
      <x:c r="E23" s="122"/>
      <x:c r="F23" s="122"/>
      <x:c r="G23" s="122"/>
      <x:c r="H23" s="122"/>
    </x:row>
    <x:row r="24">
      <x:c r="A24" s="123" t="str">
        <x:v>• Official e-liquid volume is a legal declared excise-flow measure, not consumer sell-out or retail market value.</x:v>
      </x:c>
      <x:c r="B24" s="123"/>
      <x:c r="C24" s="123"/>
      <x:c r="D24" s="123"/>
      <x:c r="E24" s="123"/>
      <x:c r="F24" s="123"/>
      <x:c r="G24" s="123"/>
      <x:c r="H24" s="123"/>
    </x:row>
    <x:row r="25">
      <x:c r="A25" s="124" t="str">
        <x:v>• The later 2023 volume is preferred because it is the later publication and names ZEFIR2, IAS Krakow and AIS; the 8.85% revision reason is not inferred.</x:v>
      </x:c>
      <x:c r="B25" s="124"/>
      <x:c r="C25" s="124"/>
      <x:c r="D25" s="124"/>
      <x:c r="E25" s="124"/>
      <x:c r="F25" s="124"/>
      <x:c r="G25" s="124"/>
      <x:c r="H25" s="124"/>
    </x:row>
    <x:row r="26">
      <x:c r="A26" s="123" t="str">
        <x:v>• KAS enforcement is targeted. Its 36.007% 2025 irregularity rate cannot be extrapolated to the whole market.</x:v>
      </x:c>
      <x:c r="B26" s="123"/>
      <x:c r="C26" s="123"/>
      <x:c r="D26" s="123"/>
      <x:c r="E26" s="123"/>
      <x:c r="F26" s="123"/>
      <x:c r="G26" s="123"/>
      <x:c r="H26" s="123"/>
    </x:row>
    <x:row r="27">
      <x:c r="A27" s="124" t="str">
        <x:v>• Eurostat CN 24041200 and 240419xx are broad inhalation proxies. Intra-EU partner is consignment and extra-EU partner is origin.</x:v>
      </x:c>
      <x:c r="B27" s="124"/>
      <x:c r="C27" s="124"/>
      <x:c r="D27" s="124"/>
      <x:c r="E27" s="124"/>
      <x:c r="F27" s="124"/>
      <x:c r="G27" s="124"/>
      <x:c r="H27" s="124"/>
    </x:row>
    <x:row r="28">
      <x:c r="A28" s="123" t="str">
        <x:v>• 2024 revenue and 2024–2025 monthly millilitres are open gaps in PX-PL-001. No email has been sent without explicit confirmation.</x:v>
      </x:c>
      <x:c r="B28" s="123"/>
      <x:c r="C28" s="123"/>
      <x:c r="D28" s="123"/>
      <x:c r="E28" s="123"/>
      <x:c r="F28" s="123"/>
      <x:c r="G28" s="123"/>
      <x:c r="H28" s="123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G15:H15"/>
    <x:mergeCell ref="G16:H16"/>
    <x:mergeCell ref="G17:H17"/>
    <x:mergeCell ref="G18:H18"/>
    <x:mergeCell ref="G19:H19"/>
    <x:mergeCell ref="G20:H20"/>
    <x:mergeCell ref="G21:H21"/>
    <x:mergeCell ref="A23:H23"/>
    <x:mergeCell ref="A24:H24"/>
    <x:mergeCell ref="A25:H25"/>
    <x:mergeCell ref="A26:H26"/>
    <x:mergeCell ref="A27:H27"/>
    <x:mergeCell ref="A28:H28"/>
  </x:mergeCells>
  <x:conditionalFormatting sqref="F16:F20">
    <x:cfRule type="expression" dxfId="0" priority="1">
      <x:formula>F16="OK"</x:formula>
    </x:cfRule>
    <x:cfRule type="expression" dxfId="1" priority="2">
      <x:formula>F16="REVIEW"</x:formula>
    </x:cfRule>
  </x:conditionalFormatting>
  <x:pageMargins left="0.7" right="0.7" top="0.75" bottom="0.75" header="0.3" footer="0.3"/>
  <x:legacyDrawing xmlns:r="http://schemas.openxmlformats.org/officeDocument/2006/relationships" r:id="R5d32edd0f00843e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39.599998474121094" hidden="0" customHeight="1">
      <x:c r="A1" s="131" t="str">
        <x:v>year</x:v>
      </x:c>
      <x:c r="B1" s="132" t="str">
        <x:v>official_e_liquid_litres</x:v>
      </x:c>
      <x:c r="C1" s="132" t="str">
        <x:v>official_e_liquid_ml</x:v>
      </x:c>
      <x:c r="D1" s="132" t="str">
        <x:v>measure</x:v>
      </x:c>
      <x:c r="E1" s="132" t="str">
        <x:v>source_systems</x:v>
      </x:c>
      <x:c r="F1" s="132" t="str">
        <x:v>evidence_status</x:v>
      </x:c>
      <x:c r="G1" s="132" t="str">
        <x:v>source_url</x:v>
      </x:c>
      <x:c r="H1" s="133" t="str">
        <x:v>boundary</x:v>
      </x:c>
    </x:row>
    <x:row r="2" ht="75.5999984741211" hidden="0" customHeight="1">
      <x:c r="A2" s="153" t="n">
        <x:v>2020</x:v>
      </x:c>
      <x:c r="B2" s="162" t="n">
        <x:v>1451529</x:v>
      </x:c>
      <x:c r="C2" s="162" t="n">
        <x:v>1451529000</x:v>
      </x:c>
      <x:c r="D2" s="154" t="str">
        <x:v>domestic_sales_plus_intra_EU_acquisition_plus_import</x:v>
      </x:c>
      <x:c r="E2" s="154" t="str">
        <x:v>ZEFIR2; IAS Krakow analysis; AIS import system</x:v>
      </x:c>
      <x:c r="F2" s="154" t="str">
        <x:v>official_declared_excise_flow</x:v>
      </x:c>
      <x:c r="G2" s="154" t="str">
        <x:v>https://api.sejm.gov.pl/sejm/term10/interpellations/attachment/ATTDDEJZ5/i07255-o1.pdf</x:v>
      </x:c>
      <x:c r="H2" s="155" t="str">
        <x:v>legal_declared_flow_not_retail_value_or_consumer_sell_out</x:v>
      </x:c>
    </x:row>
    <x:row r="3" ht="75.5999984741211" hidden="0" customHeight="1">
      <x:c r="A3" s="156" t="n">
        <x:v>2021</x:v>
      </x:c>
      <x:c r="B3" s="163" t="n">
        <x:v>277265</x:v>
      </x:c>
      <x:c r="C3" s="163" t="n">
        <x:v>277265000</x:v>
      </x:c>
      <x:c r="D3" s="157" t="str">
        <x:v>domestic_sales_plus_intra_EU_acquisition_plus_import</x:v>
      </x:c>
      <x:c r="E3" s="157" t="str">
        <x:v>ZEFIR2; IAS Krakow analysis; AIS import system</x:v>
      </x:c>
      <x:c r="F3" s="157" t="str">
        <x:v>official_declared_excise_flow</x:v>
      </x:c>
      <x:c r="G3" s="157" t="str">
        <x:v>https://api.sejm.gov.pl/sejm/term10/interpellations/attachment/ATTDDEJZ5/i07255-o1.pdf</x:v>
      </x:c>
      <x:c r="H3" s="158" t="str">
        <x:v>legal_declared_flow_not_retail_value_or_consumer_sell_out</x:v>
      </x:c>
    </x:row>
    <x:row r="4" ht="75.5999984741211" hidden="0" customHeight="1">
      <x:c r="A4" s="156" t="n">
        <x:v>2022</x:v>
      </x:c>
      <x:c r="B4" s="163" t="n">
        <x:v>416088</x:v>
      </x:c>
      <x:c r="C4" s="163" t="n">
        <x:v>416088000</x:v>
      </x:c>
      <x:c r="D4" s="157" t="str">
        <x:v>domestic_sales_plus_intra_EU_acquisition_plus_import</x:v>
      </x:c>
      <x:c r="E4" s="157" t="str">
        <x:v>ZEFIR2; IAS Krakow analysis; AIS import system</x:v>
      </x:c>
      <x:c r="F4" s="157" t="str">
        <x:v>official_declared_excise_flow</x:v>
      </x:c>
      <x:c r="G4" s="157" t="str">
        <x:v>https://api.sejm.gov.pl/sejm/term10/interpellations/attachment/ATTDDEJZ5/i07255-o1.pdf</x:v>
      </x:c>
      <x:c r="H4" s="158" t="str">
        <x:v>legal_declared_flow_not_retail_value_or_consumer_sell_out</x:v>
      </x:c>
    </x:row>
    <x:row r="5" ht="75.5999984741211" hidden="0" customHeight="1">
      <x:c r="A5" s="159" t="n">
        <x:v>2023</x:v>
      </x:c>
      <x:c r="B5" s="164" t="n">
        <x:v>805441</x:v>
      </x:c>
      <x:c r="C5" s="164" t="n">
        <x:v>805441000</x:v>
      </x:c>
      <x:c r="D5" s="160" t="str">
        <x:v>domestic_sales_plus_intra_EU_acquisition_plus_import</x:v>
      </x:c>
      <x:c r="E5" s="160" t="str">
        <x:v>ZEFIR2; IAS Krakow analysis; AIS import system</x:v>
      </x:c>
      <x:c r="F5" s="160" t="str">
        <x:v>official_declared_excise_flow</x:v>
      </x:c>
      <x:c r="G5" s="160" t="str">
        <x:v>https://api.sejm.gov.pl/sejm/term10/interpellations/attachment/ATTDDEJZ5/i07255-o1.pdf</x:v>
      </x:c>
      <x:c r="H5" s="161" t="str">
        <x:v>legal_declared_flow_not_retail_value_or_consumer_sell_out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52.79999923706055" hidden="0" customHeight="1">
      <x:c r="A1" s="131" t="str">
        <x:v>year</x:v>
      </x:c>
      <x:c r="B1" s="132" t="str">
        <x:v>official_e_liquid_excise_revenue_pln</x:v>
      </x:c>
      <x:c r="C1" s="132" t="str">
        <x:v>status</x:v>
      </x:c>
      <x:c r="D1" s="132" t="str">
        <x:v>preliminary</x:v>
      </x:c>
      <x:c r="E1" s="132" t="str">
        <x:v>source_url</x:v>
      </x:c>
      <x:c r="F1" s="133" t="str">
        <x:v>boundary</x:v>
      </x:c>
    </x:row>
    <x:row r="2" ht="75.5999984741211" hidden="0" customHeight="1">
      <x:c r="A2" s="153" t="n">
        <x:v>2021</x:v>
      </x:c>
      <x:c r="B2" s="162" t="n">
        <x:v>179500000</x:v>
      </x:c>
      <x:c r="C2" s="154" t="str">
        <x:v>official_actual</x:v>
      </x:c>
      <x:c r="D2" s="154" t="str">
        <x:v>false</x:v>
      </x:c>
      <x:c r="E2" s="154" t="str">
        <x:v>https://api.sejm.gov.pl/sejm/term10/interpellations/attachment/ATTD4DHUB/i02408-o1.pdf</x:v>
      </x:c>
      <x:c r="F2" s="155" t="str">
        <x:v>excise_revenue_not_retail_sales_value</x:v>
      </x:c>
    </x:row>
    <x:row r="3" ht="75.5999984741211" hidden="0" customHeight="1">
      <x:c r="A3" s="156" t="n">
        <x:v>2022</x:v>
      </x:c>
      <x:c r="B3" s="163" t="n">
        <x:v>229900000</x:v>
      </x:c>
      <x:c r="C3" s="157" t="str">
        <x:v>official_actual</x:v>
      </x:c>
      <x:c r="D3" s="157" t="str">
        <x:v>false</x:v>
      </x:c>
      <x:c r="E3" s="157" t="str">
        <x:v>https://api.sejm.gov.pl/sejm/term10/interpellations/attachment/ATTD4DHUB/i02408-o1.pdf</x:v>
      </x:c>
      <x:c r="F3" s="158" t="str">
        <x:v>excise_revenue_not_retail_sales_value</x:v>
      </x:c>
    </x:row>
    <x:row r="4" ht="75.5999984741211" hidden="0" customHeight="1">
      <x:c r="A4" s="156" t="n">
        <x:v>2023</x:v>
      </x:c>
      <x:c r="B4" s="163" t="n">
        <x:v>443600000</x:v>
      </x:c>
      <x:c r="C4" s="157" t="str">
        <x:v>official_actual</x:v>
      </x:c>
      <x:c r="D4" s="157" t="str">
        <x:v>true</x:v>
      </x:c>
      <x:c r="E4" s="157" t="str">
        <x:v>https://api.sejm.gov.pl/sejm/term10/interpellations/attachment/ATTD4DHUB/i02408-o1.pdf</x:v>
      </x:c>
      <x:c r="F4" s="158" t="str">
        <x:v>excise_revenue_not_retail_sales_value</x:v>
      </x:c>
    </x:row>
    <x:row r="5" ht="54" hidden="0" customHeight="1">
      <x:c r="A5" s="156" t="n">
        <x:v>2024</x:v>
      </x:c>
      <x:c r="B5" s="163" t="str"/>
      <x:c r="C5" s="157" t="str">
        <x:v>not_obtained_pending_interpellation_18182</x:v>
      </x:c>
      <x:c r="D5" s="157" t="str">
        <x:v>false</x:v>
      </x:c>
      <x:c r="E5" s="157" t="str">
        <x:v>https://api.sejm.gov.pl/sejm/term10/interpellations/18182</x:v>
      </x:c>
      <x:c r="F5" s="158" t="str">
        <x:v>excise_revenue_not_retail_sales_value</x:v>
      </x:c>
    </x:row>
    <x:row r="6" ht="75.5999984741211" hidden="0" customHeight="1">
      <x:c r="A6" s="159" t="n">
        <x:v>2025</x:v>
      </x:c>
      <x:c r="B6" s="164" t="n">
        <x:v>993100000</x:v>
      </x:c>
      <x:c r="C6" s="160" t="str">
        <x:v>official_actual</x:v>
      </x:c>
      <x:c r="D6" s="160" t="str">
        <x:v>false</x:v>
      </x:c>
      <x:c r="E6" s="160" t="str">
        <x:v>https://api.sejm.gov.pl/sejm/term10/interpellations/attachment/ATTDVKHSJ/i17526-o1.pdf</x:v>
      </x:c>
      <x:c r="F6" s="161" t="str">
        <x:v>2025_combines_Jan_Feb_0.55_Mar_Dec_0.96_and_disposable_surcharge_from_July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5" hidden="0" customWidth="1"/>
    <x:col min="8" max="8" width="45" hidden="0" customWidth="1"/>
  </x:cols>
  <x:sheetData>
    <x:row r="1" ht="39.599998474121094" hidden="0" customHeight="1">
      <x:c r="A1" s="131" t="str">
        <x:v>year</x:v>
      </x:c>
      <x:c r="B1" s="132" t="str">
        <x:v>category</x:v>
      </x:c>
      <x:c r="C1" s="132" t="str">
        <x:v>budget_plan_million_pln</x:v>
      </x:c>
      <x:c r="D1" s="132" t="str">
        <x:v>actual_million_pln</x:v>
      </x:c>
      <x:c r="E1" s="132" t="str">
        <x:v>variance_million_pln</x:v>
      </x:c>
      <x:c r="F1" s="132" t="str">
        <x:v>execution_rate_pct</x:v>
      </x:c>
      <x:c r="G1" s="132" t="str">
        <x:v>tax_start</x:v>
      </x:c>
      <x:c r="H1" s="133" t="str">
        <x:v>source_url</x:v>
      </x:c>
    </x:row>
    <x:row r="2" ht="75.5999984741211" hidden="0" customHeight="1">
      <x:c r="A2" s="153" t="n">
        <x:v>2025</x:v>
      </x:c>
      <x:c r="B2" s="154" t="str">
        <x:v>e_liquid</x:v>
      </x:c>
      <x:c r="C2" s="165" t="n">
        <x:v>1148</x:v>
      </x:c>
      <x:c r="D2" s="165" t="n">
        <x:v>993.1</x:v>
      </x:c>
      <x:c r="E2" s="165" t="n">
        <x:v>-154.9</x:v>
      </x:c>
      <x:c r="F2" s="168" t="n">
        <x:v>0.86506969</x:v>
      </x:c>
      <x:c r="G2" s="154" t="str">
        <x:v>existing; rates changed 2025-03-01; disposable surcharge 2025-07-01</x:v>
      </x:c>
      <x:c r="H2" s="155" t="str">
        <x:v>https://api.sejm.gov.pl/sejm/term10/interpellations/attachment/ATTDVKHSJ/i17526-o1.pdf</x:v>
      </x:c>
    </x:row>
    <x:row r="3" ht="75.5999984741211" hidden="0" customHeight="1">
      <x:c r="A3" s="156" t="n">
        <x:v>2025</x:v>
      </x:c>
      <x:c r="B3" s="157" t="str">
        <x:v>vaporisation_devices</x:v>
      </x:c>
      <x:c r="C3" s="166" t="str"/>
      <x:c r="D3" s="166" t="n">
        <x:v>175.3</x:v>
      </x:c>
      <x:c r="E3" s="166" t="str"/>
      <x:c r="F3" s="169" t="str"/>
      <x:c r="G3" s="157" t="str">
        <x:v>2025-07-01; 40 PLN per unit</x:v>
      </x:c>
      <x:c r="H3" s="158" t="str">
        <x:v>https://api.sejm.gov.pl/sejm/term10/interpellations/attachment/ATTDVKHSJ/i17526-o1.pdf</x:v>
      </x:c>
    </x:row>
    <x:row r="4" ht="75.5999984741211" hidden="0" customHeight="1">
      <x:c r="A4" s="159" t="n">
        <x:v>2025</x:v>
      </x:c>
      <x:c r="B4" s="160" t="str">
        <x:v>vaporisation_device_part_kits</x:v>
      </x:c>
      <x:c r="C4" s="167" t="str"/>
      <x:c r="D4" s="167" t="n">
        <x:v>2.5</x:v>
      </x:c>
      <x:c r="E4" s="167" t="str"/>
      <x:c r="F4" s="170" t="str"/>
      <x:c r="G4" s="160" t="str">
        <x:v>2025-07-01; 40 PLN per kit</x:v>
      </x:c>
      <x:c r="H4" s="161" t="str">
        <x:v>https://api.sejm.gov.pl/sejm/term10/interpellations/attachment/ATTDVKHSJ/i17526-o1.pdf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54" hidden="0" customWidth="1"/>
    <x:col min="8" max="8" width="54" hidden="0" customWidth="1"/>
  </x:cols>
  <x:sheetData>
    <x:row r="1" ht="66" hidden="0" customHeight="1">
      <x:c r="A1" s="131" t="str">
        <x:v>period</x:v>
      </x:c>
      <x:c r="B1" s="132" t="str">
        <x:v>controls_total</x:v>
      </x:c>
      <x:c r="C1" s="132" t="str">
        <x:v>controls_with_irregularities_or_successful</x:v>
      </x:c>
      <x:c r="D1" s="132" t="str">
        <x:v>recomputed_hit_rate_pct</x:v>
      </x:c>
      <x:c r="E1" s="132" t="str">
        <x:v>seized_or_revealed_e_liquid_ml</x:v>
      </x:c>
      <x:c r="F1" s="132" t="str">
        <x:v>seized_disposable_devices</x:v>
      </x:c>
      <x:c r="G1" s="132" t="str">
        <x:v>source_url</x:v>
      </x:c>
      <x:c r="H1" s="133" t="str">
        <x:v>sampling_boundary</x:v>
      </x:c>
    </x:row>
    <x:row r="2" ht="75.5999984741211" hidden="0" customHeight="1">
      <x:c r="A2" s="153" t="str">
        <x:v>2021</x:v>
      </x:c>
      <x:c r="B2" s="162" t="n">
        <x:v>754</x:v>
      </x:c>
      <x:c r="C2" s="162" t="n">
        <x:v>187</x:v>
      </x:c>
      <x:c r="D2" s="168" t="n">
        <x:v>0.24801061000000002</x:v>
      </x:c>
      <x:c r="E2" s="162" t="str"/>
      <x:c r="F2" s="162" t="str"/>
      <x:c r="G2" s="154" t="str">
        <x:v>https://api.sejm.gov.pl/sejm/term10/interpellations/attachment/ATTD4DHUB/i02408-o1.pdf</x:v>
      </x:c>
      <x:c r="H2" s="155" t="str">
        <x:v>enforcement_targeted_sample_not_illegal_market_share_or_sales_data_accuracy</x:v>
      </x:c>
    </x:row>
    <x:row r="3" ht="75.5999984741211" hidden="0" customHeight="1">
      <x:c r="A3" s="156" t="str">
        <x:v>2022</x:v>
      </x:c>
      <x:c r="B3" s="163" t="n">
        <x:v>904</x:v>
      </x:c>
      <x:c r="C3" s="163" t="n">
        <x:v>330</x:v>
      </x:c>
      <x:c r="D3" s="169" t="n">
        <x:v>0.36504424999999996</x:v>
      </x:c>
      <x:c r="E3" s="163" t="str"/>
      <x:c r="F3" s="163" t="str"/>
      <x:c r="G3" s="157" t="str">
        <x:v>https://api.sejm.gov.pl/sejm/term10/interpellations/attachment/ATTD4DHUB/i02408-o1.pdf</x:v>
      </x:c>
      <x:c r="H3" s="158" t="str">
        <x:v>enforcement_targeted_sample_not_illegal_market_share_or_sales_data_accuracy</x:v>
      </x:c>
    </x:row>
    <x:row r="4" ht="75.5999984741211" hidden="0" customHeight="1">
      <x:c r="A4" s="156" t="str">
        <x:v>2023</x:v>
      </x:c>
      <x:c r="B4" s="163" t="n">
        <x:v>919</x:v>
      </x:c>
      <x:c r="C4" s="163" t="n">
        <x:v>295</x:v>
      </x:c>
      <x:c r="D4" s="169" t="n">
        <x:v>0.32100109000000004</x:v>
      </x:c>
      <x:c r="E4" s="163" t="n">
        <x:v>4500000</x:v>
      </x:c>
      <x:c r="F4" s="163" t="str"/>
      <x:c r="G4" s="157" t="str">
        <x:v>https://api.sejm.gov.pl/sejm/term10/interpellations/attachment/ATTD4DHUB/i02408-o1.pdf</x:v>
      </x:c>
      <x:c r="H4" s="158" t="str">
        <x:v>enforcement_targeted_sample_not_illegal_market_share_or_sales_data_accuracy</x:v>
      </x:c>
    </x:row>
    <x:row r="5" ht="75.5999984741211" hidden="0" customHeight="1">
      <x:c r="A5" s="156" t="str">
        <x:v>2025</x:v>
      </x:c>
      <x:c r="B5" s="163" t="n">
        <x:v>1172</x:v>
      </x:c>
      <x:c r="C5" s="163" t="n">
        <x:v>422</x:v>
      </x:c>
      <x:c r="D5" s="169" t="n">
        <x:v>0.36006826</x:v>
      </x:c>
      <x:c r="E5" s="163" t="n">
        <x:v>3200000</x:v>
      </x:c>
      <x:c r="F5" s="163" t="n">
        <x:v>49000</x:v>
      </x:c>
      <x:c r="G5" s="157" t="str">
        <x:v>https://www.gov.pl/web/kas/kas-zwalcza-oszustwa-zwiazane-z-rynkiem-e-papierosow</x:v>
      </x:c>
      <x:c r="H5" s="158" t="str">
        <x:v>enforcement_targeted_sample_not_illegal_market_share_or_sales_data_accuracy</x:v>
      </x:c>
    </x:row>
    <x:row r="6" ht="75.5999984741211" hidden="0" customHeight="1">
      <x:c r="A6" s="159" t="str">
        <x:v>2026_Q1</x:v>
      </x:c>
      <x:c r="B6" s="164" t="str"/>
      <x:c r="C6" s="164" t="n">
        <x:v>665</x:v>
      </x:c>
      <x:c r="D6" s="170" t="str"/>
      <x:c r="E6" s="164" t="n">
        <x:v>3810000</x:v>
      </x:c>
      <x:c r="F6" s="164" t="n">
        <x:v>332000</x:v>
      </x:c>
      <x:c r="G6" s="160" t="str">
        <x:v>https://api.sejm.gov.pl/sejm/term10/interpellations/attachment/ATTDVKHSJ/i17526-o1.pdf</x:v>
      </x:c>
      <x:c r="H6" s="161" t="str">
        <x:v>denominator_not_published; 665 described as successful_controls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54" hidden="0" customWidth="1"/>
    <x:col min="6" max="6" width="45" hidden="0" customWidth="1"/>
    <x:col min="7" max="7" width="45" hidden="0" customWidth="1"/>
  </x:cols>
  <x:sheetData>
    <x:row r="1" ht="39.599998474121094" hidden="0" customHeight="1">
      <x:c r="A1" s="131" t="str">
        <x:v>reference_year</x:v>
      </x:c>
      <x:c r="B1" s="132" t="str">
        <x:v>release_date</x:v>
      </x:c>
      <x:c r="C1" s="132" t="str">
        <x:v>official_e_liquid_ml</x:v>
      </x:c>
      <x:c r="D1" s="132" t="str">
        <x:v>official_e_liquid_litres</x:v>
      </x:c>
      <x:c r="E1" s="132" t="str">
        <x:v>source_url</x:v>
      </x:c>
      <x:c r="F1" s="132" t="str">
        <x:v>source_system_detail</x:v>
      </x:c>
      <x:c r="G1" s="133" t="str">
        <x:v>maturity</x:v>
      </x:c>
    </x:row>
    <x:row r="2" ht="75.5999984741211" hidden="0" customHeight="1">
      <x:c r="A2" s="153" t="n">
        <x:v>2023</x:v>
      </x:c>
      <x:c r="B2" s="154" t="str">
        <x:v>2024-04-15</x:v>
      </x:c>
      <x:c r="C2" s="171" t="n">
        <x:v>883641334.2</x:v>
      </x:c>
      <x:c r="D2" s="171" t="n">
        <x:v>883641.3342</x:v>
      </x:c>
      <x:c r="E2" s="154" t="str">
        <x:v>https://api.sejm.gov.pl/sejm/term10/interpellations/attachment/ATTD4DHUB/i02408-o1.pdf</x:v>
      </x:c>
      <x:c r="F2" s="154" t="str">
        <x:v>tax declarations and customs notifications in KAS IT systems</x:v>
      </x:c>
      <x:c r="G2" s="155" t="str">
        <x:v>earlier_preliminary_release</x:v>
      </x:c>
    </x:row>
    <x:row r="3" ht="75.5999984741211" hidden="0" customHeight="1">
      <x:c r="A3" s="159" t="n">
        <x:v>2023</x:v>
      </x:c>
      <x:c r="B3" s="160" t="str">
        <x:v>2025-01-28</x:v>
      </x:c>
      <x:c r="C3" s="172" t="n">
        <x:v>805441000</x:v>
      </x:c>
      <x:c r="D3" s="172" t="n">
        <x:v>805441</x:v>
      </x:c>
      <x:c r="E3" s="160" t="str">
        <x:v>https://api.sejm.gov.pl/sejm/term10/interpellations/attachment/ATTDDEJZ5/i07255-o1.pdf</x:v>
      </x:c>
      <x:c r="F3" s="160" t="str">
        <x:v>ZEFIR2; IAS Krakow analysis; AIS import system</x:v>
      </x:c>
      <x:c r="G3" s="161" t="str">
        <x:v>later_release_preferred_pending_revision_explanation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0" hidden="0" customWidth="1"/>
  </x:cols>
  <x:sheetData>
    <x:row r="1" ht="52.79999923706055" hidden="0" customHeight="1">
      <x:c r="A1" s="131" t="str">
        <x:v>year</x:v>
      </x:c>
      <x:c r="B1" s="132" t="str">
        <x:v>official_later_release_ml</x:v>
      </x:c>
      <x:c r="C1" s="132" t="str">
        <x:v>statutory_rate_pln_per_ml</x:v>
      </x:c>
      <x:c r="D1" s="132" t="str">
        <x:v>mechanical_excise_pln</x:v>
      </x:c>
      <x:c r="E1" s="132" t="str">
        <x:v>official_excise_revenue_pln</x:v>
      </x:c>
      <x:c r="F1" s="132" t="str">
        <x:v>official_minus_mechanical_pln</x:v>
      </x:c>
      <x:c r="G1" s="132" t="str">
        <x:v>gap_pct_of_official_revenue</x:v>
      </x:c>
      <x:c r="H1" s="133" t="str">
        <x:v>interpretation</x:v>
      </x:c>
    </x:row>
    <x:row r="2" ht="64.80000305175781" hidden="0" customHeight="1">
      <x:c r="A2" s="153" t="n">
        <x:v>2021</x:v>
      </x:c>
      <x:c r="B2" s="173" t="n">
        <x:v>277265000</x:v>
      </x:c>
      <x:c r="C2" s="173" t="n">
        <x:v>0.55</x:v>
      </x:c>
      <x:c r="D2" s="173" t="n">
        <x:v>152495750</x:v>
      </x:c>
      <x:c r="E2" s="173" t="n">
        <x:v>179500000</x:v>
      </x:c>
      <x:c r="F2" s="173" t="n">
        <x:v>27004250</x:v>
      </x:c>
      <x:c r="G2" s="168" t="n">
        <x:v>0.1504415</x:v>
      </x:c>
      <x:c r="H2" s="155" t="str">
        <x:v>plausibility_check_not_proof_of_evasion_or_exact_accrual_timing</x:v>
      </x:c>
    </x:row>
    <x:row r="3" ht="64.80000305175781" hidden="0" customHeight="1">
      <x:c r="A3" s="156" t="n">
        <x:v>2022</x:v>
      </x:c>
      <x:c r="B3" s="174" t="n">
        <x:v>416088000</x:v>
      </x:c>
      <x:c r="C3" s="174" t="n">
        <x:v>0.55</x:v>
      </x:c>
      <x:c r="D3" s="174" t="n">
        <x:v>228848400</x:v>
      </x:c>
      <x:c r="E3" s="174" t="n">
        <x:v>229900000</x:v>
      </x:c>
      <x:c r="F3" s="174" t="n">
        <x:v>1051600</x:v>
      </x:c>
      <x:c r="G3" s="169" t="n">
        <x:v>0.00457416</x:v>
      </x:c>
      <x:c r="H3" s="158" t="str">
        <x:v>plausibility_check_not_proof_of_evasion_or_exact_accrual_timing</x:v>
      </x:c>
    </x:row>
    <x:row r="4" ht="64.80000305175781" hidden="0" customHeight="1">
      <x:c r="A4" s="159" t="n">
        <x:v>2023</x:v>
      </x:c>
      <x:c r="B4" s="175" t="n">
        <x:v>805441000</x:v>
      </x:c>
      <x:c r="C4" s="175" t="n">
        <x:v>0.55</x:v>
      </x:c>
      <x:c r="D4" s="175" t="n">
        <x:v>442992550</x:v>
      </x:c>
      <x:c r="E4" s="175" t="n">
        <x:v>443600000</x:v>
      </x:c>
      <x:c r="F4" s="175" t="n">
        <x:v>607450</x:v>
      </x:c>
      <x:c r="G4" s="170" t="n">
        <x:v>0.00136936</x:v>
      </x:c>
      <x:c r="H4" s="161" t="str">
        <x:v>plausibility_check_not_proof_of_evasion_or_exact_accrual_timing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6" hidden="0" customWidth="1"/>
    <x:col min="10" max="10" width="46" hidden="0" customWidth="1"/>
    <x:col min="11" max="11" width="46" hidden="0" customWidth="1"/>
  </x:cols>
  <x:sheetData>
    <x:row r="1" ht="39.599998474121094" hidden="0" customHeight="1">
      <x:c r="A1" s="131" t="str">
        <x:v>year</x:v>
      </x:c>
      <x:c r="B1" s="132" t="str">
        <x:v>cn8</x:v>
      </x:c>
      <x:c r="C1" s="132" t="str">
        <x:v>scope</x:v>
      </x:c>
      <x:c r="D1" s="132" t="str">
        <x:v>world_import_eur</x:v>
      </x:c>
      <x:c r="E1" s="132" t="str">
        <x:v>intra_eu_import_eur</x:v>
      </x:c>
      <x:c r="F1" s="132" t="str">
        <x:v>extra_eu_import_eur</x:v>
      </x:c>
      <x:c r="G1" s="132" t="str">
        <x:v>extra_eu_share_pct</x:v>
      </x:c>
      <x:c r="H1" s="132" t="str">
        <x:v>world_export_eur</x:v>
      </x:c>
      <x:c r="I1" s="132" t="str">
        <x:v>import_publication_status</x:v>
      </x:c>
      <x:c r="J1" s="132" t="str">
        <x:v>source_url</x:v>
      </x:c>
      <x:c r="K1" s="133" t="str">
        <x:v>boundary</x:v>
      </x:c>
    </x:row>
    <x:row r="2" ht="356.3999938964844" hidden="0" customHeight="1">
      <x:c r="A2" s="153" t="n">
        <x:v>2025</x:v>
      </x:c>
      <x:c r="B2" s="154" t="str">
        <x:v>85434000</x:v>
      </x:c>
      <x:c r="C2" s="154" t="str">
        <x:v>core_devices</x:v>
      </x:c>
      <x:c r="D2" s="162" t="n">
        <x:v>114354799</x:v>
      </x:c>
      <x:c r="E2" s="162" t="n">
        <x:v>54046100</x:v>
      </x:c>
      <x:c r="F2" s="162" t="n">
        <x:v>60308699</x:v>
      </x:c>
      <x:c r="G2" s="168" t="n">
        <x:v>0.5273823200000001</x:v>
      </x:c>
      <x:c r="H2" s="162" t="n">
        <x:v>8828674</x:v>
      </x:c>
      <x:c r="I2" s="154" t="str">
        <x:v>published</x:v>
      </x:c>
      <x:c r="J2" s="154" t="str">
        <x:v>https://ec.europa.eu/eurostat/api/comext/dissemination/statistics/1.0/data/DS-045409?freq=A&amp;reporter=P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K2" s="155" t="str">
        <x:v>trade_not_sales; intra_EU_partner_is_consignment; extra_EU_partner_is_origin; 2404_codes_are_broad_proxies</x:v>
      </x:c>
    </x:row>
    <x:row r="3" ht="356.3999938964844" hidden="0" customHeight="1">
      <x:c r="A3" s="156" t="n">
        <x:v>2025</x:v>
      </x:c>
      <x:c r="B3" s="157" t="str">
        <x:v>24041200</x:v>
      </x:c>
      <x:c r="C3" s="157" t="str">
        <x:v>broad_nicotine_inhalation_proxy</x:v>
      </x:c>
      <x:c r="D3" s="163" t="n">
        <x:v>96224937</x:v>
      </x:c>
      <x:c r="E3" s="163" t="n">
        <x:v>63430529</x:v>
      </x:c>
      <x:c r="F3" s="163" t="n">
        <x:v>32794408</x:v>
      </x:c>
      <x:c r="G3" s="169" t="n">
        <x:v>0.34080987</x:v>
      </x:c>
      <x:c r="H3" s="163" t="n">
        <x:v>27123058</x:v>
      </x:c>
      <x:c r="I3" s="157" t="str">
        <x:v>published</x:v>
      </x:c>
      <x:c r="J3" s="157" t="str">
        <x:v>https://ec.europa.eu/eurostat/api/comext/dissemination/statistics/1.0/data/DS-045409?freq=A&amp;reporter=P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K3" s="158" t="str">
        <x:v>trade_not_sales; intra_EU_partner_is_consignment; extra_EU_partner_is_origin; 2404_codes_are_broad_proxies</x:v>
      </x:c>
    </x:row>
    <x:row r="4" ht="356.3999938964844" hidden="0" customHeight="1">
      <x:c r="A4" s="156" t="n">
        <x:v>2025</x:v>
      </x:c>
      <x:c r="B4" s="157" t="str">
        <x:v>24041910</x:v>
      </x:c>
      <x:c r="C4" s="157" t="str">
        <x:v>broad_nicotine_free_tobacco_substitute_inhalation_proxy</x:v>
      </x:c>
      <x:c r="D4" s="163" t="str"/>
      <x:c r="E4" s="163" t="str"/>
      <x:c r="F4" s="163" t="str"/>
      <x:c r="G4" s="169" t="str"/>
      <x:c r="H4" s="163" t="n">
        <x:v>3023</x:v>
      </x:c>
      <x:c r="I4" s="157" t="str">
        <x:v>not_published_in_query</x:v>
      </x:c>
      <x:c r="J4" s="157" t="str">
        <x:v>https://ec.europa.eu/eurostat/api/comext/dissemination/statistics/1.0/data/DS-045409?freq=A&amp;reporter=P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K4" s="158" t="str">
        <x:v>trade_not_sales; intra_EU_partner_is_consignment; extra_EU_partner_is_origin; 2404_codes_are_broad_proxies</x:v>
      </x:c>
    </x:row>
    <x:row r="5" ht="356.3999938964844" hidden="0" customHeight="1">
      <x:c r="A5" s="159" t="n">
        <x:v>2025</x:v>
      </x:c>
      <x:c r="B5" s="160" t="str">
        <x:v>24041990</x:v>
      </x:c>
      <x:c r="C5" s="160" t="str">
        <x:v>broad_other_substitute_inhalation_proxy</x:v>
      </x:c>
      <x:c r="D5" s="164" t="n">
        <x:v>623864</x:v>
      </x:c>
      <x:c r="E5" s="164" t="n">
        <x:v>14609</x:v>
      </x:c>
      <x:c r="F5" s="164" t="n">
        <x:v>609255</x:v>
      </x:c>
      <x:c r="G5" s="170" t="n">
        <x:v>0.97658304</x:v>
      </x:c>
      <x:c r="H5" s="164" t="n">
        <x:v>3140118</x:v>
      </x:c>
      <x:c r="I5" s="160" t="str">
        <x:v>published</x:v>
      </x:c>
      <x:c r="J5" s="160" t="str">
        <x:v>https://ec.europa.eu/eurostat/api/comext/dissemination/statistics/1.0/data/DS-045409?freq=A&amp;reporter=P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K5" s="161" t="str">
        <x:v>trade_not_sales; intra_EU_partner_is_consignment; extra_EU_partner_is_origin; 2404_codes_are_broad_proxies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62" hidden="0" customWidth="1"/>
    <x:col min="4" max="4" width="36" hidden="0" customWidth="1"/>
    <x:col min="5" max="5" width="16" hidden="0" customWidth="1"/>
    <x:col min="6" max="6" width="48" hidden="0" customWidth="1"/>
  </x:cols>
  <x:sheetData>
    <x:row r="1" ht="26.399999618530273" hidden="0" customHeight="1">
      <x:c r="A1" s="131" t="str">
        <x:v>Source file</x:v>
      </x:c>
      <x:c r="B1" s="132" t="str">
        <x:v>Authority / use</x:v>
      </x:c>
      <x:c r="C1" s="132" t="str">
        <x:v>URL</x:v>
      </x:c>
      <x:c r="D1" s="132" t="str">
        <x:v>SHA-256</x:v>
      </x:c>
      <x:c r="E1" s="132" t="str">
        <x:v>Bytes</x:v>
      </x:c>
      <x:c r="F1" s="133" t="str">
        <x:v>Boundary</x:v>
      </x:c>
    </x:row>
    <x:row r="2" ht="75.5999984741211" hidden="0" customHeight="1">
      <x:c r="A2" s="153" t="str">
        <x:v>mf_interpellation_7255_volume_2020_2023.pdf</x:v>
      </x:c>
      <x:c r="B2" s="154" t="str">
        <x:v>Polish Ministry of Finance</x:v>
      </x:c>
      <x:c r="C2" s="154" t="str">
        <x:v>https://api.sejm.gov.pl/sejm/term10/interpellations/attachment/ATTDDEJZ5/i07255-o1.pdf</x:v>
      </x:c>
      <x:c r="D2" s="154" t="str">
        <x:v>fc91bbe6619e0936a60b7e18be62d80fb90109bc77978a65338fafb49db51099</x:v>
      </x:c>
      <x:c r="E2" s="154" t="n">
        <x:v>208183</x:v>
      </x:c>
      <x:c r="F2" s="155" t="str">
        <x:v>See Summary and source-specific derived tables.</x:v>
      </x:c>
    </x:row>
    <x:row r="3" ht="75.5999984741211" hidden="0" customHeight="1">
      <x:c r="A3" s="156" t="str">
        <x:v>mf_interpellation_2408_revenue_controls_2021_2023.pdf</x:v>
      </x:c>
      <x:c r="B3" s="157" t="str">
        <x:v>Polish Ministry of Finance</x:v>
      </x:c>
      <x:c r="C3" s="157" t="str">
        <x:v>https://api.sejm.gov.pl/sejm/term10/interpellations/attachment/ATTD4DHUB/i02408-o1.pdf</x:v>
      </x:c>
      <x:c r="D3" s="157" t="str">
        <x:v>7aa9384945d63801874a1ae3854f3d300b08bae039d084014dc694693678cbec</x:v>
      </x:c>
      <x:c r="E3" s="157" t="n">
        <x:v>116844</x:v>
      </x:c>
      <x:c r="F3" s="158" t="str">
        <x:v>See Summary and source-specific derived tables.</x:v>
      </x:c>
    </x:row>
    <x:row r="4" ht="75.5999984741211" hidden="0" customHeight="1">
      <x:c r="A4" s="156" t="str">
        <x:v>mf_interpellation_17526_excise_execution_2025.pdf</x:v>
      </x:c>
      <x:c r="B4" s="157" t="str">
        <x:v>Polish Ministry of Finance</x:v>
      </x:c>
      <x:c r="C4" s="157" t="str">
        <x:v>https://api.sejm.gov.pl/sejm/term10/interpellations/attachment/ATTDVKHSJ/i17526-o1.pdf</x:v>
      </x:c>
      <x:c r="D4" s="157" t="str">
        <x:v>3e7adaf7dbd1d40320088fcc98b4f2f5000bd89b5609532206afad21fc5fb78e</x:v>
      </x:c>
      <x:c r="E4" s="157" t="n">
        <x:v>152361</x:v>
      </x:c>
      <x:c r="F4" s="158" t="str">
        <x:v>See Summary and source-specific derived tables.</x:v>
      </x:c>
    </x:row>
    <x:row r="5" ht="75.5999984741211" hidden="0" customHeight="1">
      <x:c r="A5" s="156" t="str">
        <x:v>kas_e_cigarette_enforcement_2025.html</x:v>
      </x:c>
      <x:c r="B5" s="157" t="str">
        <x:v>KAS</x:v>
      </x:c>
      <x:c r="C5" s="157" t="str">
        <x:v>https://www.gov.pl/web/kas/kas-zwalcza-oszustwa-zwiazane-z-rynkiem-e-papierosow</x:v>
      </x:c>
      <x:c r="D5" s="157" t="str">
        <x:v>be86a32f7a6628893c1c84dd85d54577313c3ceece01f03c3c3777c586ae3069</x:v>
      </x:c>
      <x:c r="E5" s="157" t="n">
        <x:v>30035</x:v>
      </x:c>
      <x:c r="F5" s="158" t="str">
        <x:v>Targeted enforcement, not market share.</x:v>
      </x:c>
    </x:row>
    <x:row r="6" ht="75.5999984741211" hidden="0" customHeight="1">
      <x:c r="A6" s="156" t="str">
        <x:v>e_liquid_rates_2025_2026_law.pdf</x:v>
      </x:c>
      <x:c r="B6" s="157" t="str">
        <x:v>Polish Ministry of Finance / Sejm</x:v>
      </x:c>
      <x:c r="C6" s="157" t="str">
        <x:v>https://api.sejm.gov.pl/eli/acts/DU/2024/1681/text.pdf</x:v>
      </x:c>
      <x:c r="D6" s="157" t="str">
        <x:v>53bec20dd0fbbdbb7b54b2279006894ca0acb2a0584695b8d4f62871c4f9bbb3</x:v>
      </x:c>
      <x:c r="E6" s="157" t="n">
        <x:v>171148</x:v>
      </x:c>
      <x:c r="F6" s="158" t="str">
        <x:v>See Summary and source-specific derived tables.</x:v>
      </x:c>
    </x:row>
    <x:row r="7" ht="75.5999984741211" hidden="0" customHeight="1">
      <x:c r="A7" s="156" t="str">
        <x:v>excise_devices_2025_law.pdf</x:v>
      </x:c>
      <x:c r="B7" s="157" t="str">
        <x:v>Polish Ministry of Finance / Sejm</x:v>
      </x:c>
      <x:c r="C7" s="157" t="str">
        <x:v>https://api.sejm.gov.pl/eli/acts/DU/2025/340/text.pdf</x:v>
      </x:c>
      <x:c r="D7" s="157" t="str">
        <x:v>5341d4f05b8e7d19c9848fc8e73cd977eb1d50754de88886c411204c93922110</x:v>
      </x:c>
      <x:c r="E7" s="157" t="n">
        <x:v>258061</x:v>
      </x:c>
      <x:c r="F7" s="158" t="str">
        <x:v>See Summary and source-specific derived tables.</x:v>
      </x:c>
    </x:row>
    <x:row r="8" ht="75.5999984741211" hidden="0" customHeight="1">
      <x:c r="A8" s="156" t="str">
        <x:v>akc_4_m_3_current.pdf</x:v>
      </x:c>
      <x:c r="B8" s="157" t="str">
        <x:v>Polish Ministry of Finance / Sejm</x:v>
      </x:c>
      <x:c r="C8" s="157" t="str">
        <x:v>https://podatki.gov.pl/akcyza/formularze</x:v>
      </x:c>
      <x:c r="D8" s="157" t="str">
        <x:v>5771de29e493a743dec87c7bc441db0fd4c55647d6fa922a2615a7b65774e15e</x:v>
      </x:c>
      <x:c r="E8" s="157" t="n">
        <x:v>72534</x:v>
      </x:c>
      <x:c r="F8" s="158" t="str">
        <x:v>See Summary and source-specific derived tables.</x:v>
      </x:c>
    </x:row>
    <x:row r="9" ht="64.80000305175781" hidden="0" customHeight="1">
      <x:c r="A9" s="156" t="str">
        <x:v>akc_ua_2025_form_law.pdf</x:v>
      </x:c>
      <x:c r="B9" s="157" t="str">
        <x:v>Polish Ministry of Finance / Sejm</x:v>
      </x:c>
      <x:c r="C9" s="157" t="str">
        <x:v>https://api.sejm.gov.pl/eli/acts/DU/2025/822/text.pdf</x:v>
      </x:c>
      <x:c r="D9" s="157" t="str">
        <x:v>ef16537d5a3ab88a4c09c297c1f330aaa5d74db951f4ba8ced81060f128304f2</x:v>
      </x:c>
      <x:c r="E9" s="157" t="n">
        <x:v>522016</x:v>
      </x:c>
      <x:c r="F9" s="158" t="str">
        <x:v>See Summary and source-specific derived tables.</x:v>
      </x:c>
    </x:row>
    <x:row r="10" ht="356.3999938964844" hidden="0" customHeight="1">
      <x:c r="A10" s="156" t="str">
        <x:v>eurostat_poland_cn8_2025.json</x:v>
      </x:c>
      <x:c r="B10" s="157" t="str">
        <x:v>Eurostat Comext</x:v>
      </x:c>
      <x:c r="C10" s="157" t="str">
        <x:v>https://ec.europa.eu/eurostat/api/comext/dissemination/statistics/1.0/data/DS-045409?freq=A&amp;reporter=P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D10" s="157" t="str">
        <x:v>bbb20cc26a10956093680cce2e6403672671e48a964a170d90ba8983eff1266d</x:v>
      </x:c>
      <x:c r="E10" s="157" t="n">
        <x:v>3089</x:v>
      </x:c>
      <x:c r="F10" s="158" t="str">
        <x:v>Trade, not sales; route semantics apply.</x:v>
      </x:c>
    </x:row>
    <x:row r="11" ht="64.80000305175781" hidden="0" customHeight="1">
      <x:c r="A11" s="159" t="str">
        <x:v>sejm_interpellations_metadata_2026-07-17.json</x:v>
      </x:c>
      <x:c r="B11" s="160" t="str">
        <x:v>Sejm API</x:v>
      </x:c>
      <x:c r="C11" s="160" t="str">
        <x:v>https://api.sejm.gov.pl/sejm/term10/interpellations/18182</x:v>
      </x:c>
      <x:c r="D11" s="160" t="str">
        <x:v>120bb108f4fd3b0e49f36847b062f40b881514dfaaf136180f771567c6d37120</x:v>
      </x:c>
      <x:c r="E11" s="160" t="n">
        <x:v>7354</x:v>
      </x:c>
      <x:c r="F11" s="161" t="str">
        <x:v>See Summary and source-specific derived tables.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46" hidden="0" customWidth="1"/>
    <x:col min="4" max="4" width="46" hidden="0" customWidth="1"/>
    <x:col min="5" max="5" width="28" hidden="0" customWidth="1"/>
  </x:cols>
  <x:sheetData>
    <x:row r="1" ht="26.399999618530273" hidden="0" customHeight="1">
      <x:c r="A1" s="131" t="str">
        <x:v>Priority</x:v>
      </x:c>
      <x:c r="B1" s="132" t="str">
        <x:v>Missing aggregate</x:v>
      </x:c>
      <x:c r="C1" s="132" t="str">
        <x:v>Why it matters</x:v>
      </x:c>
      <x:c r="D1" s="132" t="str">
        <x:v>Acquisition route</x:v>
      </x:c>
      <x:c r="E1" s="133" t="str">
        <x:v>Status</x:v>
      </x:c>
    </x:row>
    <x:row r="2" ht="43.20000076293945" hidden="0" customHeight="1">
      <x:c r="A2" s="153" t="str">
        <x:v>P1</x:v>
      </x:c>
      <x:c r="B2" s="154" t="str">
        <x:v>2024 e-liquid excise revenue</x:v>
      </x:c>
      <x:c r="C2" s="154" t="str">
        <x:v>Completes the annual revenue bridge</x:v>
      </x:c>
      <x:c r="D2" s="154" t="str">
        <x:v>PX-PL-001 + pending interpellation 18182</x:v>
      </x:c>
      <x:c r="E2" s="155" t="str">
        <x:v>READY / MONITOR</x:v>
      </x:c>
    </x:row>
    <x:row r="3" ht="64.80000305175781" hidden="0" customHeight="1">
      <x:c r="A3" s="156" t="str">
        <x:v>P1</x:v>
      </x:c>
      <x:c r="B3" s="157" t="str">
        <x:v>2024–2025 monthly e-liquid ml by domestic / intra-EU / import</x:v>
      </x:c>
      <x:c r="C3" s="157" t="str">
        <x:v>Allows rate-change and route reconciliation</x:v>
      </x:c>
      <x:c r="D3" s="157" t="str">
        <x:v>PX-PL-001 to Ministry of Finance</x:v>
      </x:c>
      <x:c r="E3" s="158" t="str">
        <x:v>READY FOR CONFIRMATION</x:v>
      </x:c>
    </x:row>
    <x:row r="4" ht="54" hidden="0" customHeight="1">
      <x:c r="A4" s="156" t="str">
        <x:v>P1</x:v>
      </x:c>
      <x:c r="B4" s="157" t="str">
        <x:v>2025 device and part-kit official units</x:v>
      </x:c>
      <x:c r="C4" s="157" t="str">
        <x:v>Separates tax revenue from physical market quantity</x:v>
      </x:c>
      <x:c r="D4" s="157" t="str">
        <x:v>PX-PL-001; AKC forms prove units are collected</x:v>
      </x:c>
      <x:c r="E4" s="158" t="str">
        <x:v>READY FOR CONFIRMATION</x:v>
      </x:c>
    </x:row>
    <x:row r="5" ht="43.20000076293945" hidden="0" customHeight="1">
      <x:c r="A5" s="156" t="str">
        <x:v>P1</x:v>
      </x:c>
      <x:c r="B5" s="157" t="str">
        <x:v>Reason for 2023 quantity revision</x:v>
      </x:c>
      <x:c r="C5" s="157" t="str">
        <x:v>Explains the 8.85% official release difference</x:v>
      </x:c>
      <x:c r="D5" s="157" t="str">
        <x:v>PX-PL-001</x:v>
      </x:c>
      <x:c r="E5" s="158" t="str">
        <x:v>READY FOR CONFIRMATION</x:v>
      </x:c>
    </x:row>
    <x:row r="6" ht="43.20000076293945" hidden="0" customHeight="1">
      <x:c r="A6" s="156" t="str">
        <x:v>P2</x:v>
      </x:c>
      <x:c r="B6" s="157" t="str">
        <x:v>Article 20(7) sales units / ml / value</x:v>
      </x:c>
      <x:c r="C6" s="157" t="str">
        <x:v>Closer to market sell-out than excise flow</x:v>
      </x:c>
      <x:c r="D6" s="157" t="str">
        <x:v>National EU-CEG authority request</x:v>
      </x:c>
      <x:c r="E6" s="158" t="str">
        <x:v>NOT SENT</x:v>
      </x:c>
    </x:row>
    <x:row r="7" ht="54" hidden="0" customHeight="1">
      <x:c r="A7" s="156" t="str">
        <x:v>P2</x:v>
      </x:c>
      <x:c r="B7" s="157" t="str">
        <x:v>Domestic production and inventory change</x:v>
      </x:c>
      <x:c r="C7" s="157" t="str">
        <x:v>Required for apparent-consumption bridge</x:v>
      </x:c>
      <x:c r="D7" s="157" t="str">
        <x:v>Ministry / statistics request</x:v>
      </x:c>
      <x:c r="E7" s="158" t="str">
        <x:v>NOT OBTAINED</x:v>
      </x:c>
    </x:row>
    <x:row r="8" ht="43.20000076293945" hidden="0" customHeight="1">
      <x:c r="A8" s="159" t="str">
        <x:v>P2</x:v>
      </x:c>
      <x:c r="B8" s="160" t="str">
        <x:v>Retail sell-out and sales-weighted prices</x:v>
      </x:c>
      <x:c r="C8" s="160" t="str">
        <x:v>Required for consumer-market value</x:v>
      </x:c>
      <x:c r="D8" s="160" t="str">
        <x:v>Official release or licensed panel</x:v>
      </x:c>
      <x:c r="E8" s="161" t="str">
        <x:v>NOT OBTAINED</x:v>
      </x:c>
    </x:row>
  </x:sheetData>
  <x:pageMargins left="0.7" right="0.7" top="0.75" bottom="0.75" header="0.3" footer="0.3"/>
</x:worksheet>
</file>