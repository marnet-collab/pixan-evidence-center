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119a14c5e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11109738a14bae"/>
    <x:sheet xmlns:r="http://schemas.openxmlformats.org/officeDocument/2006/relationships" name="Tax Rates" sheetId="2" r:id="Ra1ce0b51a18845e8"/>
    <x:sheet xmlns:r="http://schemas.openxmlformats.org/officeDocument/2006/relationships" name="Revenue Actuals" sheetId="3" r:id="Rdfd635c33a604183"/>
    <x:sheet xmlns:r="http://schemas.openxmlformats.org/officeDocument/2006/relationships" name="Monthly Revenue" sheetId="4" r:id="Rfbda0fadf0364d0e"/>
    <x:sheet xmlns:r="http://schemas.openxmlformats.org/officeDocument/2006/relationships" name="Forecast Volume" sheetId="5" r:id="R5f1eeb5a33da4e56"/>
    <x:sheet xmlns:r="http://schemas.openxmlformats.org/officeDocument/2006/relationships" name="Price Inputs" sheetId="6" r:id="R1acacb6eaf594be8"/>
    <x:sheet xmlns:r="http://schemas.openxmlformats.org/officeDocument/2006/relationships" name="Price Stress" sheetId="7" r:id="R7a02975040f648ab"/>
    <x:sheet xmlns:r="http://schemas.openxmlformats.org/officeDocument/2006/relationships" name="Forecast Bridge" sheetId="8" r:id="Rd2907147a29248b0"/>
    <x:sheet xmlns:r="http://schemas.openxmlformats.org/officeDocument/2006/relationships" name="Controls" sheetId="9" r:id="Re76585a46e594dcd"/>
    <x:sheet xmlns:r="http://schemas.openxmlformats.org/officeDocument/2006/relationships" name="Product Registry" sheetId="10" r:id="R2a1a6058668a4f3a"/>
    <x:sheet xmlns:r="http://schemas.openxmlformats.org/officeDocument/2006/relationships" name="Customs Route" sheetId="11" r:id="R073551604c8641a4"/>
    <x:sheet xmlns:r="http://schemas.openxmlformats.org/officeDocument/2006/relationships" name="Route Partners" sheetId="12" r:id="R5722d2cf5c5f435d"/>
    <x:sheet xmlns:r="http://schemas.openxmlformats.org/officeDocument/2006/relationships" name="Method Audit" sheetId="13" r:id="R29ffd151e2b44ee1"/>
    <x:sheet xmlns:r="http://schemas.openxmlformats.org/officeDocument/2006/relationships" name="Sources" sheetId="14" r:id="Rbd511d72cc4442cb"/>
    <x:sheet xmlns:r="http://schemas.openxmlformats.org/officeDocument/2006/relationships" name="Open Data Gaps" sheetId="15" r:id="R88ec742c1ea94ed6"/>
  </x:sheets>
</x:workbook>
</file>

<file path=xl/comments1.xml><?xml version="1.0" encoding="utf-8"?>
<x:comments xmlns:x="http://schemas.openxmlformats.org/spreadsheetml/2006/main">
  <x:authors>
    <x:author>tc={A58825D7-6184-B14E-C42B-9923C840E01C}</x:author>
    <x:author>tc={0B7296EC-E383-6DD2-2364-9644052104F3}</x:author>
    <x:author>tc={A2E160A7-5DBB-22DC-AA5B-094D3186AB34}</x:author>
    <x:author>tc={AE6BA51B-8B4C-8F10-A91D-02B462D4F541}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https://skm.dk/media/nd0bwgno/indtaegtsliste-2025.xlsx. Combined nicotine-products-and-liquids account; not e-liquid-only.</x:t>
        </x:r>
      </x:text>
    </x:comment>
    <x:comment ref="B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https://www.ft.dk/samling/20231/almdel/sau/spm/678/svar/2074316/2914215.pdf. Forecast rounded to DKK 5m; not actual accounts.</x:t>
        </x:r>
      </x:text>
    </x:comment>
    <x:comment ref="B1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https://cdn.who.int/media/docs/default-source/country-profiles/tobacco/gtrc-2025/tobacco-2025-dnk.pdf. Cheapest-brand price sensitivity only.</x:t>
        </x:r>
      </x:text>
    </x:comment>
    <x:comment ref="B1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c.europa.eu/eurostat/api/comext/dissemination/statistics/1.0/data/DS-045409?freq=A&amp;reporter=DK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. Border net is not Danish consumer demand.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#,##0.00;[Red](#,##0.00);-"/>
    <x:numFmt numFmtId="201" formatCode="0.000%"/>
    <x:numFmt numFmtId="202" formatCode="#,##0 &quot;DKK&quot;"/>
    <x:numFmt numFmtId="203" formatCode="#,##0.0 &quot;l&quot;"/>
    <x:numFmt numFmtId="204" formatCode="€#,##0;[Red](€#,##0);-"/>
    <x:numFmt numFmtId="205" formatCode="0.0%"/>
    <x:numFmt numFmtId="206" formatCode="#,##0.000;[Red](#,##0.000);-"/>
    <x:numFmt numFmtId="207" formatCode="0.00 &quot;DKK/ml&quot;"/>
    <x:numFmt numFmtId="208" formatCode="#,##0 &quot;DKK/l&quot;"/>
    <x:numFmt numFmtId="209" formatCode="#,##0.00 &quot;DKK&quot;"/>
    <x:numFmt numFmtId="210" formatCode="0.000 &quot;m DKK&quot;"/>
    <x:numFmt numFmtId="211" formatCode="#,##0.000 &quot;000 DKK&quot;"/>
    <x:numFmt numFmtId="212" formatCode="0.00 &quot;ml&quot;"/>
    <x:numFmt numFmtId="213" formatCode="0.00 &quot;DKK&quot;"/>
    <x:numFmt numFmtId="214" formatCode="0.00%"/>
    <x:numFmt numFmtId="215" formatCode="0.00x"/>
    <x:numFmt numFmtId="216" formatCode="0.00 &quot;DKK/10ml&quot;"/>
    <x:numFmt numFmtId="217" formatCode="#,##0"/>
  </x:numFmts>
  <x:fonts count="17">
    <x:font>
      <x:sz val="11"/>
      <x:name val="Carlito"/>
    </x:font>
    <x:font>
      <x:b/>
      <x:sz val="20"/>
      <x:color rgb="FFFFFFFF"/>
      <x:name val="Arial"/>
    </x:font>
    <x:font>
      <x:i/>
      <x:sz val="11"/>
      <x:color rgb="FF10243E"/>
      <x:name val="Arial"/>
    </x:font>
    <x:font>
      <x:b/>
      <x:sz val="11"/>
      <x:color rgb="FFFFFFFF"/>
      <x:name val="Arial"/>
    </x:font>
    <x:font>
      <x:b/>
      <x:sz val="11"/>
      <x:color rgb="FF10243E"/>
      <x:name val="Carlito"/>
    </x:font>
    <x:font>
      <x:b/>
      <x:sz val="11"/>
      <x:color rgb="FF000000"/>
      <x:name val="Carlito"/>
    </x:font>
    <x:font>
      <x:sz val="11"/>
      <x:color rgb="FF667085"/>
      <x:name val="Carlito"/>
    </x:font>
    <x:font>
      <x:b/>
      <x:sz val="11"/>
      <x:color rgb="FFC89425"/>
      <x:name val="Carlito"/>
    </x:font>
    <x:font>
      <x:b/>
      <x:sz val="11"/>
      <x:color rgb="FFFFFFFF"/>
      <x:name val="Carlito"/>
    </x:font>
    <x:font>
      <x:sz val="11"/>
      <x:name val="Arial"/>
    </x:font>
    <x:font>
      <x:b/>
      <x:sz val="11"/>
      <x:color rgb="FF10243E"/>
      <x:name val="Arial"/>
    </x:font>
    <x:font>
      <x:b/>
      <x:sz val="11"/>
      <x:color rgb="FF000000"/>
      <x:name val="Arial"/>
    </x:font>
    <x:font>
      <x:sz val="11"/>
      <x:color rgb="FF667085"/>
      <x:name val="Arial"/>
    </x:font>
    <x:font>
      <x:b/>
      <x:sz val="11"/>
      <x:color rgb="FFC89425"/>
      <x:name val="Arial"/>
    </x:font>
    <x:font>
      <x:sz val="9"/>
      <x:color rgb="FF1F7A4D"/>
      <x:name val="Arial"/>
    </x:font>
    <x:font>
      <x:sz val="9"/>
      <x:color rgb="FF000000"/>
      <x:name val="Arial"/>
    </x:font>
    <x:font>
      <x:sz val="9"/>
      <x:color rgb="FF2457A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AF1FB"/>
      </x:patternFill>
    </x:fill>
    <x:fill>
      <x:patternFill patternType="solid">
        <x:fgColor rgb="FF2457A7"/>
      </x:patternFill>
    </x:fill>
    <x:fill>
      <x:patternFill patternType="solid">
        <x:fgColor rgb="FFFFF5D8"/>
      </x:patternFill>
    </x:fill>
    <x:fill>
      <x:patternFill patternType="solid">
        <x:fgColor rgb="FFC89425"/>
      </x:patternFill>
    </x:fill>
    <x:fill>
      <x:patternFill patternType="solid">
        <x:fgColor rgb="FFFFFFFF"/>
      </x:patternFill>
    </x:fill>
  </x:fills>
  <x:borders count="15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medium">
        <x:color rgb="FFC89425"/>
      </x:left>
      <x:top style="medium">
        <x:color rgb="FFC89425"/>
      </x:top>
      <x:bottom style="medium">
        <x:color rgb="FFC89425"/>
      </x:bottom>
    </x:border>
    <x:border>
      <x:right style="medium">
        <x:color rgb="FFC89425"/>
      </x:right>
      <x:top style="medium">
        <x:color rgb="FFC89425"/>
      </x:top>
      <x:bottom style="medium">
        <x:color rgb="FFC89425"/>
      </x:bottom>
    </x:border>
    <x:border>
      <x:right style="thin">
        <x:color rgb="FF36506D"/>
      </x:right>
    </x:border>
    <x:border>
      <x:left style="thin">
        <x:color rgb="FF36506D"/>
      </x:left>
      <x:right style="thin">
        <x:color rgb="FF36506D"/>
      </x:right>
    </x:border>
    <x:border>
      <x:left style="thin">
        <x:color rgb="FF36506D"/>
      </x:left>
    </x:border>
  </x:borders>
  <x:cellStyleXfs count="1">
    <x:xf numFmtId="0" fontId="0" fillId="0" borderId="0"/>
  </x:cellStyleXfs>
  <x:cellXfs count="2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0" fontId="0" fillId="0" borderId="7" xfId="0" applyNumberFormat="1" applyFont="1" applyFill="1" applyBorder="1"/>
    <x:xf numFmtId="205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5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4" fontId="5" fillId="0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5" fontId="5" fillId="0" borderId="8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8" fillId="2" borderId="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6" fontId="0" fillId="0" borderId="2" xfId="0" applyNumberFormat="1" applyFont="1" applyFill="1" applyBorder="1"/>
    <x:xf numFmtId="206" fontId="0" fillId="0" borderId="5" xfId="0" applyNumberFormat="1" applyFont="1" applyFill="1" applyBorder="1"/>
    <x:xf numFmtId="0" fontId="0" fillId="5" borderId="8" xfId="0" applyNumberFormat="1" applyFont="1" applyFill="1" applyBorder="1"/>
    <x:xf numFmtId="0" fontId="7" fillId="5" borderId="8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/>
    </x:xf>
    <x:xf numFmtId="200" fontId="11" fillId="0" borderId="5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201" fontId="11" fillId="0" borderId="5" xfId="0" applyNumberFormat="1" applyFont="1" applyFill="1" applyBorder="1" applyAlignment="1">
      <x:alignment vertical="center"/>
    </x:xf>
    <x:xf numFmtId="202" fontId="11" fillId="0" borderId="5" xfId="0" applyNumberFormat="1" applyFont="1" applyFill="1" applyBorder="1" applyAlignment="1">
      <x:alignment vertical="center"/>
    </x:xf>
    <x:xf numFmtId="203" fontId="11" fillId="0" borderId="5" xfId="0" applyNumberFormat="1" applyFont="1" applyFill="1" applyBorder="1" applyAlignment="1">
      <x:alignment vertical="center"/>
    </x:xf>
    <x:xf numFmtId="204" fontId="11" fillId="0" borderId="5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/>
    </x:xf>
    <x:xf numFmtId="0" fontId="10" fillId="0" borderId="7" xfId="0" applyNumberFormat="1" applyFont="1" applyFill="1" applyBorder="1" applyAlignment="1">
      <x:alignment vertical="center"/>
    </x:xf>
    <x:xf numFmtId="205" fontId="11" fillId="0" borderId="8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12" fillId="0" borderId="8" xfId="0" applyNumberFormat="1" applyFont="1" applyFill="1" applyBorder="1" applyAlignment="1">
      <x:alignment vertical="center" wrapText="1"/>
    </x:xf>
    <x:xf numFmtId="0" fontId="12" fillId="0" borderId="9" xfId="0" applyNumberFormat="1" applyFont="1" applyFill="1" applyBorder="1" applyAlignment="1">
      <x:alignment vertical="center" wrapText="1"/>
    </x:xf>
    <x:xf numFmtId="0" fontId="13" fillId="5" borderId="10" xfId="0" applyNumberFormat="1" applyFont="1" applyFill="1" applyBorder="1"/>
    <x:xf numFmtId="0" fontId="13" fillId="5" borderId="11" xfId="0" applyNumberFormat="1" applyFont="1" applyFill="1" applyBorder="1"/>
    <x:xf numFmtId="0" fontId="3" fillId="2" borderId="0" xfId="0" applyNumberFormat="1" applyFont="1" applyFill="1" applyBorder="1"/>
    <x:xf numFmtId="0" fontId="9" fillId="0" borderId="1" xfId="0" applyNumberFormat="1" applyFont="1" applyFill="1" applyBorder="1"/>
    <x:xf numFmtId="206" fontId="9" fillId="0" borderId="2" xfId="0" applyNumberFormat="1" applyFont="1" applyFill="1" applyBorder="1"/>
    <x:xf numFmtId="0" fontId="9" fillId="0" borderId="2" xfId="0" applyNumberFormat="1" applyFont="1" applyFill="1" applyBorder="1"/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4" xfId="0" applyNumberFormat="1" applyFont="1" applyFill="1" applyBorder="1"/>
    <x:xf numFmtId="206" fontId="9" fillId="0" borderId="5" xfId="0" applyNumberFormat="1" applyFont="1" applyFill="1" applyBorder="1"/>
    <x:xf numFmtId="0" fontId="9" fillId="0" borderId="5" xfId="0" applyNumberFormat="1" applyFont="1" applyFill="1" applyBorder="1"/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13" fillId="5" borderId="8" xfId="0" applyNumberFormat="1" applyFont="1" applyFill="1" applyBorder="1"/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3" fillId="5" borderId="10" xfId="0" applyNumberFormat="1" applyFont="1" applyFill="1" applyBorder="1" applyAlignment="1">
      <x:alignment vertical="center"/>
    </x:xf>
    <x:xf numFmtId="0" fontId="13" fillId="5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206" fontId="9" fillId="0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/>
    </x:xf>
    <x:xf numFmtId="206" fontId="9" fillId="0" borderId="5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/>
    </x:xf>
    <x:xf numFmtId="0" fontId="13" fillId="5" borderId="8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vertical="center" wrapText="1"/>
    </x:xf>
    <x:xf numFmtId="0" fontId="3" fillId="2" borderId="13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0" borderId="2" xfId="0" applyNumberFormat="1" applyFont="1" applyFill="1" applyBorder="1"/>
    <x:xf numFmtId="0" fontId="14" fillId="0" borderId="3" xfId="0" applyNumberFormat="1" applyFont="1" applyFill="1" applyBorder="1"/>
    <x:xf numFmtId="0" fontId="14" fillId="0" borderId="4" xfId="0" applyNumberFormat="1" applyFont="1" applyFill="1" applyBorder="1"/>
    <x:xf numFmtId="0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4" fillId="0" borderId="7" xfId="0" applyNumberFormat="1" applyFont="1" applyFill="1" applyBorder="1"/>
    <x:xf numFmtId="0" fontId="14" fillId="0" borderId="8" xfId="0" applyNumberFormat="1" applyFont="1" applyFill="1" applyBorder="1"/>
    <x:xf numFmtId="0" fontId="14" fillId="0" borderId="9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2" xfId="0" applyNumberFormat="1" applyFont="1" applyFill="1" applyBorder="1" applyAlignment="1">
      <x:alignment wrapText="1"/>
    </x:xf>
    <x:xf numFmtId="0" fontId="14" fillId="0" borderId="3" xfId="0" applyNumberFormat="1" applyFont="1" applyFill="1" applyBorder="1" applyAlignment="1">
      <x:alignment wrapText="1"/>
    </x:xf>
    <x:xf numFmtId="0" fontId="14" fillId="0" borderId="4" xfId="0" applyNumberFormat="1" applyFont="1" applyFill="1" applyBorder="1" applyAlignment="1">
      <x:alignment wrapText="1"/>
    </x:xf>
    <x:xf numFmtId="0" fontId="14" fillId="0" borderId="5" xfId="0" applyNumberFormat="1" applyFont="1" applyFill="1" applyBorder="1" applyAlignment="1">
      <x:alignment wrapText="1"/>
    </x:xf>
    <x:xf numFmtId="0" fontId="14" fillId="0" borderId="6" xfId="0" applyNumberFormat="1" applyFont="1" applyFill="1" applyBorder="1" applyAlignment="1">
      <x:alignment wrapText="1"/>
    </x:xf>
    <x:xf numFmtId="0" fontId="14" fillId="0" borderId="7" xfId="0" applyNumberFormat="1" applyFont="1" applyFill="1" applyBorder="1" applyAlignment="1">
      <x:alignment wrapText="1"/>
    </x:xf>
    <x:xf numFmtId="0" fontId="14" fillId="0" borderId="8" xfId="0" applyNumberFormat="1" applyFont="1" applyFill="1" applyBorder="1" applyAlignment="1">
      <x:alignment wrapText="1"/>
    </x:xf>
    <x:xf numFmtId="0" fontId="14" fillId="0" borderId="9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vertical="top" wrapText="1"/>
    </x:xf>
    <x:xf numFmtId="0" fontId="14" fillId="0" borderId="2" xfId="0" applyNumberFormat="1" applyFont="1" applyFill="1" applyBorder="1" applyAlignment="1">
      <x:alignment vertical="top" wrapText="1"/>
    </x:xf>
    <x:xf numFmtId="0" fontId="14" fillId="0" borderId="3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4" fillId="0" borderId="7" xfId="0" applyNumberFormat="1" applyFont="1" applyFill="1" applyBorder="1" applyAlignment="1">
      <x:alignment vertical="top" wrapText="1"/>
    </x:xf>
    <x:xf numFmtId="0" fontId="14" fillId="0" borderId="8" xfId="0" applyNumberFormat="1" applyFont="1" applyFill="1" applyBorder="1" applyAlignment="1">
      <x:alignment vertical="top" wrapText="1"/>
    </x:xf>
    <x:xf numFmtId="0" fontId="14" fillId="0" borderId="9" xfId="0" applyNumberFormat="1" applyFont="1" applyFill="1" applyBorder="1" applyAlignment="1">
      <x:alignment vertical="top" wrapText="1"/>
    </x:xf>
    <x:xf numFmtId="207" fontId="14" fillId="0" borderId="2" xfId="0" applyNumberFormat="1" applyFont="1" applyFill="1" applyBorder="1" applyAlignment="1">
      <x:alignment vertical="top" wrapText="1"/>
    </x:xf>
    <x:xf numFmtId="207" fontId="14" fillId="0" borderId="5" xfId="0" applyNumberFormat="1" applyFont="1" applyFill="1" applyBorder="1" applyAlignment="1">
      <x:alignment vertical="top" wrapText="1"/>
    </x:xf>
    <x:xf numFmtId="207" fontId="14" fillId="0" borderId="8" xfId="0" applyNumberFormat="1" applyFont="1" applyFill="1" applyBorder="1" applyAlignment="1">
      <x:alignment vertical="top" wrapText="1"/>
    </x:xf>
    <x:xf numFmtId="208" fontId="14" fillId="0" borderId="2" xfId="0" applyNumberFormat="1" applyFont="1" applyFill="1" applyBorder="1" applyAlignment="1">
      <x:alignment vertical="top" wrapText="1"/>
    </x:xf>
    <x:xf numFmtId="208" fontId="14" fillId="0" borderId="5" xfId="0" applyNumberFormat="1" applyFont="1" applyFill="1" applyBorder="1" applyAlignment="1">
      <x:alignment vertical="top" wrapText="1"/>
    </x:xf>
    <x:xf numFmtId="208" fontId="14" fillId="0" borderId="8" xfId="0" applyNumberFormat="1" applyFont="1" applyFill="1" applyBorder="1" applyAlignment="1">
      <x:alignment vertical="top" wrapText="1"/>
    </x:xf>
    <x:xf numFmtId="209" fontId="14" fillId="0" borderId="2" xfId="0" applyNumberFormat="1" applyFont="1" applyFill="1" applyBorder="1" applyAlignment="1">
      <x:alignment vertical="top" wrapText="1"/>
    </x:xf>
    <x:xf numFmtId="209" fontId="14" fillId="0" borderId="8" xfId="0" applyNumberFormat="1" applyFont="1" applyFill="1" applyBorder="1" applyAlignment="1">
      <x:alignment vertical="top" wrapText="1"/>
    </x:xf>
    <x:xf numFmtId="210" fontId="14" fillId="0" borderId="2" xfId="0" applyNumberFormat="1" applyFont="1" applyFill="1" applyBorder="1" applyAlignment="1">
      <x:alignment vertical="top" wrapText="1"/>
    </x:xf>
    <x:xf numFmtId="210" fontId="14" fillId="0" borderId="8" xfId="0" applyNumberFormat="1" applyFont="1" applyFill="1" applyBorder="1" applyAlignment="1">
      <x:alignment vertical="top" wrapText="1"/>
    </x:xf>
    <x:xf numFmtId="201" fontId="14" fillId="0" borderId="2" xfId="0" applyNumberFormat="1" applyFont="1" applyFill="1" applyBorder="1" applyAlignment="1">
      <x:alignment vertical="top" wrapText="1"/>
    </x:xf>
    <x:xf numFmtId="201" fontId="14" fillId="0" borderId="8" xfId="0" applyNumberFormat="1" applyFont="1" applyFill="1" applyBorder="1" applyAlignment="1">
      <x:alignment vertical="top" wrapText="1"/>
    </x:xf>
    <x:xf numFmtId="201" fontId="15" fillId="0" borderId="8" xfId="0" applyNumberFormat="1" applyFont="1" applyFill="1" applyBorder="1" applyAlignment="1">
      <x:alignment vertical="top" wrapText="1"/>
    </x:xf>
    <x:xf numFmtId="211" fontId="14" fillId="0" borderId="2" xfId="0" applyNumberFormat="1" applyFont="1" applyFill="1" applyBorder="1" applyAlignment="1">
      <x:alignment vertical="top" wrapText="1"/>
    </x:xf>
    <x:xf numFmtId="211" fontId="14" fillId="0" borderId="5" xfId="0" applyNumberFormat="1" applyFont="1" applyFill="1" applyBorder="1" applyAlignment="1">
      <x:alignment vertical="top" wrapText="1"/>
    </x:xf>
    <x:xf numFmtId="211" fontId="14" fillId="0" borderId="8" xfId="0" applyNumberFormat="1" applyFont="1" applyFill="1" applyBorder="1" applyAlignment="1">
      <x:alignment vertical="top" wrapText="1"/>
    </x:xf>
    <x:xf numFmtId="209" fontId="14" fillId="0" borderId="5" xfId="0" applyNumberFormat="1" applyFont="1" applyFill="1" applyBorder="1" applyAlignment="1">
      <x:alignment vertical="top" wrapText="1"/>
    </x:xf>
    <x:xf numFmtId="202" fontId="14" fillId="0" borderId="2" xfId="0" applyNumberFormat="1" applyFont="1" applyFill="1" applyBorder="1" applyAlignment="1">
      <x:alignment vertical="top" wrapText="1"/>
    </x:xf>
    <x:xf numFmtId="202" fontId="14" fillId="0" borderId="8" xfId="0" applyNumberFormat="1" applyFont="1" applyFill="1" applyBorder="1" applyAlignment="1">
      <x:alignment vertical="top" wrapText="1"/>
    </x:xf>
    <x:xf numFmtId="203" fontId="14" fillId="0" borderId="2" xfId="0" applyNumberFormat="1" applyFont="1" applyFill="1" applyBorder="1" applyAlignment="1">
      <x:alignment vertical="top" wrapText="1"/>
    </x:xf>
    <x:xf numFmtId="203" fontId="14" fillId="0" borderId="8" xfId="0" applyNumberFormat="1" applyFont="1" applyFill="1" applyBorder="1" applyAlignment="1">
      <x:alignment vertical="top" wrapText="1"/>
    </x:xf>
    <x:xf numFmtId="212" fontId="14" fillId="0" borderId="2" xfId="0" applyNumberFormat="1" applyFont="1" applyFill="1" applyBorder="1" applyAlignment="1">
      <x:alignment vertical="top" wrapText="1"/>
    </x:xf>
    <x:xf numFmtId="212" fontId="14" fillId="0" borderId="5" xfId="0" applyNumberFormat="1" applyFont="1" applyFill="1" applyBorder="1" applyAlignment="1">
      <x:alignment vertical="top" wrapText="1"/>
    </x:xf>
    <x:xf numFmtId="212" fontId="14" fillId="0" borderId="8" xfId="0" applyNumberFormat="1" applyFont="1" applyFill="1" applyBorder="1" applyAlignment="1">
      <x:alignment vertical="top" wrapText="1"/>
    </x:xf>
    <x:xf numFmtId="213" fontId="14" fillId="0" borderId="2" xfId="0" applyNumberFormat="1" applyFont="1" applyFill="1" applyBorder="1" applyAlignment="1">
      <x:alignment vertical="top" wrapText="1"/>
    </x:xf>
    <x:xf numFmtId="213" fontId="14" fillId="0" borderId="5" xfId="0" applyNumberFormat="1" applyFont="1" applyFill="1" applyBorder="1" applyAlignment="1">
      <x:alignment vertical="top" wrapText="1"/>
    </x:xf>
    <x:xf numFmtId="213" fontId="14" fillId="0" borderId="8" xfId="0" applyNumberFormat="1" applyFont="1" applyFill="1" applyBorder="1" applyAlignment="1">
      <x:alignment vertical="top" wrapText="1"/>
    </x:xf>
    <x:xf numFmtId="214" fontId="14" fillId="0" borderId="2" xfId="0" applyNumberFormat="1" applyFont="1" applyFill="1" applyBorder="1" applyAlignment="1">
      <x:alignment vertical="top" wrapText="1"/>
    </x:xf>
    <x:xf numFmtId="214" fontId="14" fillId="0" borderId="5" xfId="0" applyNumberFormat="1" applyFont="1" applyFill="1" applyBorder="1" applyAlignment="1">
      <x:alignment vertical="top" wrapText="1"/>
    </x:xf>
    <x:xf numFmtId="214" fontId="14" fillId="0" borderId="8" xfId="0" applyNumberFormat="1" applyFont="1" applyFill="1" applyBorder="1" applyAlignment="1">
      <x:alignment vertical="top" wrapText="1"/>
    </x:xf>
    <x:xf numFmtId="202" fontId="14" fillId="0" borderId="5" xfId="0" applyNumberFormat="1" applyFont="1" applyFill="1" applyBorder="1" applyAlignment="1">
      <x:alignment vertical="top" wrapText="1"/>
    </x:xf>
    <x:xf numFmtId="203" fontId="14" fillId="0" borderId="5" xfId="0" applyNumberFormat="1" applyFont="1" applyFill="1" applyBorder="1" applyAlignment="1">
      <x:alignment vertical="top" wrapText="1"/>
    </x:xf>
    <x:xf numFmtId="215" fontId="14" fillId="0" borderId="2" xfId="0" applyNumberFormat="1" applyFont="1" applyFill="1" applyBorder="1" applyAlignment="1">
      <x:alignment vertical="top" wrapText="1"/>
    </x:xf>
    <x:xf numFmtId="215" fontId="14" fillId="0" borderId="5" xfId="0" applyNumberFormat="1" applyFont="1" applyFill="1" applyBorder="1" applyAlignment="1">
      <x:alignment vertical="top" wrapText="1"/>
    </x:xf>
    <x:xf numFmtId="215" fontId="14" fillId="0" borderId="8" xfId="0" applyNumberFormat="1" applyFont="1" applyFill="1" applyBorder="1" applyAlignment="1">
      <x:alignment vertical="top" wrapText="1"/>
    </x:xf>
    <x:xf numFmtId="216" fontId="14" fillId="0" borderId="2" xfId="0" applyNumberFormat="1" applyFont="1" applyFill="1" applyBorder="1" applyAlignment="1">
      <x:alignment vertical="top" wrapText="1"/>
    </x:xf>
    <x:xf numFmtId="216" fontId="14" fillId="0" borderId="5" xfId="0" applyNumberFormat="1" applyFont="1" applyFill="1" applyBorder="1" applyAlignment="1">
      <x:alignment vertical="top" wrapText="1"/>
    </x:xf>
    <x:xf numFmtId="216" fontId="14" fillId="0" borderId="8" xfId="0" applyNumberFormat="1" applyFont="1" applyFill="1" applyBorder="1" applyAlignment="1">
      <x:alignment vertical="top" wrapText="1"/>
    </x:xf>
    <x:xf numFmtId="207" fontId="16" fillId="0" borderId="2" xfId="0" applyNumberFormat="1" applyFont="1" applyFill="1" applyBorder="1" applyAlignment="1">
      <x:alignment vertical="top" wrapText="1"/>
    </x:xf>
    <x:xf numFmtId="207" fontId="16" fillId="0" borderId="5" xfId="0" applyNumberFormat="1" applyFont="1" applyFill="1" applyBorder="1" applyAlignment="1">
      <x:alignment vertical="top" wrapText="1"/>
    </x:xf>
    <x:xf numFmtId="207" fontId="16" fillId="0" borderId="8" xfId="0" applyNumberFormat="1" applyFont="1" applyFill="1" applyBorder="1" applyAlignment="1">
      <x:alignment vertical="top" wrapText="1"/>
    </x:xf>
    <x:xf numFmtId="215" fontId="16" fillId="0" borderId="2" xfId="0" applyNumberFormat="1" applyFont="1" applyFill="1" applyBorder="1" applyAlignment="1">
      <x:alignment vertical="top" wrapText="1"/>
    </x:xf>
    <x:xf numFmtId="215" fontId="16" fillId="0" borderId="5" xfId="0" applyNumberFormat="1" applyFont="1" applyFill="1" applyBorder="1" applyAlignment="1">
      <x:alignment vertical="top" wrapText="1"/>
    </x:xf>
    <x:xf numFmtId="215" fontId="16" fillId="0" borderId="8" xfId="0" applyNumberFormat="1" applyFont="1" applyFill="1" applyBorder="1" applyAlignment="1">
      <x:alignment vertical="top" wrapText="1"/>
    </x:xf>
    <x:xf numFmtId="203" fontId="15" fillId="0" borderId="2" xfId="0" applyNumberFormat="1" applyFont="1" applyFill="1" applyBorder="1" applyAlignment="1">
      <x:alignment vertical="top" wrapText="1"/>
    </x:xf>
    <x:xf numFmtId="203" fontId="15" fillId="0" borderId="5" xfId="0" applyNumberFormat="1" applyFont="1" applyFill="1" applyBorder="1" applyAlignment="1">
      <x:alignment vertical="top" wrapText="1"/>
    </x:xf>
    <x:xf numFmtId="203" fontId="15" fillId="0" borderId="8" xfId="0" applyNumberFormat="1" applyFont="1" applyFill="1" applyBorder="1" applyAlignment="1">
      <x:alignment vertical="top" wrapText="1"/>
    </x:xf>
    <x:xf numFmtId="216" fontId="15" fillId="0" borderId="2" xfId="0" applyNumberFormat="1" applyFont="1" applyFill="1" applyBorder="1" applyAlignment="1">
      <x:alignment vertical="top" wrapText="1"/>
    </x:xf>
    <x:xf numFmtId="202" fontId="15" fillId="0" borderId="2" xfId="0" applyNumberFormat="1" applyFont="1" applyFill="1" applyBorder="1" applyAlignment="1">
      <x:alignment vertical="top" wrapText="1"/>
    </x:xf>
    <x:xf numFmtId="214" fontId="15" fillId="0" borderId="2" xfId="0" applyNumberFormat="1" applyFont="1" applyFill="1" applyBorder="1" applyAlignment="1">
      <x:alignment vertical="top" wrapText="1"/>
    </x:xf>
    <x:xf numFmtId="216" fontId="15" fillId="0" borderId="5" xfId="0" applyNumberFormat="1" applyFont="1" applyFill="1" applyBorder="1" applyAlignment="1">
      <x:alignment vertical="top" wrapText="1"/>
    </x:xf>
    <x:xf numFmtId="202" fontId="15" fillId="0" borderId="5" xfId="0" applyNumberFormat="1" applyFont="1" applyFill="1" applyBorder="1" applyAlignment="1">
      <x:alignment vertical="top" wrapText="1"/>
    </x:xf>
    <x:xf numFmtId="214" fontId="15" fillId="0" borderId="5" xfId="0" applyNumberFormat="1" applyFont="1" applyFill="1" applyBorder="1" applyAlignment="1">
      <x:alignment vertical="top" wrapText="1"/>
    </x:xf>
    <x:xf numFmtId="216" fontId="15" fillId="0" borderId="8" xfId="0" applyNumberFormat="1" applyFont="1" applyFill="1" applyBorder="1" applyAlignment="1">
      <x:alignment vertical="top" wrapText="1"/>
    </x:xf>
    <x:xf numFmtId="202" fontId="15" fillId="0" borderId="8" xfId="0" applyNumberFormat="1" applyFont="1" applyFill="1" applyBorder="1" applyAlignment="1">
      <x:alignment vertical="top" wrapText="1"/>
    </x:xf>
    <x:xf numFmtId="214" fontId="15" fillId="0" borderId="8" xfId="0" applyNumberFormat="1" applyFont="1" applyFill="1" applyBorder="1" applyAlignment="1">
      <x:alignment vertical="top" wrapText="1"/>
    </x:xf>
    <x:xf numFmtId="201" fontId="15" fillId="0" borderId="2" xfId="0" applyNumberFormat="1" applyFont="1" applyFill="1" applyBorder="1" applyAlignment="1">
      <x:alignment vertical="top" wrapText="1"/>
    </x:xf>
    <x:xf numFmtId="217" fontId="14" fillId="0" borderId="2" xfId="0" applyNumberFormat="1" applyFont="1" applyFill="1" applyBorder="1" applyAlignment="1">
      <x:alignment vertical="top" wrapText="1"/>
    </x:xf>
    <x:xf numFmtId="217" fontId="14" fillId="0" borderId="5" xfId="0" applyNumberFormat="1" applyFont="1" applyFill="1" applyBorder="1" applyAlignment="1">
      <x:alignment vertical="top" wrapText="1"/>
    </x:xf>
    <x:xf numFmtId="217" fontId="14" fillId="0" borderId="8" xfId="0" applyNumberFormat="1" applyFont="1" applyFill="1" applyBorder="1" applyAlignment="1">
      <x:alignment vertical="top" wrapText="1"/>
    </x:xf>
    <x:xf numFmtId="205" fontId="14" fillId="0" borderId="2" xfId="0" applyNumberFormat="1" applyFont="1" applyFill="1" applyBorder="1" applyAlignment="1">
      <x:alignment vertical="top" wrapText="1"/>
    </x:xf>
    <x:xf numFmtId="205" fontId="14" fillId="0" borderId="5" xfId="0" applyNumberFormat="1" applyFont="1" applyFill="1" applyBorder="1" applyAlignment="1">
      <x:alignment vertical="top" wrapText="1"/>
    </x:xf>
    <x:xf numFmtId="205" fontId="14" fillId="0" borderId="8" xfId="0" applyNumberFormat="1" applyFont="1" applyFill="1" applyBorder="1" applyAlignment="1">
      <x:alignment vertical="top" wrapText="1"/>
    </x:xf>
    <x:xf numFmtId="201" fontId="14" fillId="0" borderId="5" xfId="0" applyNumberFormat="1" applyFont="1" applyFill="1" applyBorder="1" applyAlignment="1">
      <x:alignment vertical="top" wrapText="1"/>
    </x:xf>
    <x:xf numFmtId="201" fontId="15" fillId="0" borderId="5" xfId="0" applyNumberFormat="1" applyFont="1" applyFill="1" applyBorder="1" applyAlignment="1">
      <x:alignment vertical="top" wrapText="1"/>
    </x:xf>
    <x:xf numFmtId="204" fontId="14" fillId="0" borderId="2" xfId="0" applyNumberFormat="1" applyFont="1" applyFill="1" applyBorder="1" applyAlignment="1">
      <x:alignment vertical="top" wrapText="1"/>
    </x:xf>
    <x:xf numFmtId="204" fontId="14" fillId="0" borderId="5" xfId="0" applyNumberFormat="1" applyFont="1" applyFill="1" applyBorder="1" applyAlignment="1">
      <x:alignment vertical="top" wrapText="1"/>
    </x:xf>
    <x:xf numFmtId="204" fontId="14" fillId="0" borderId="8" xfId="0" applyNumberFormat="1" applyFont="1" applyFill="1" applyBorder="1" applyAlignment="1">
      <x:alignment vertical="top" wrapText="1"/>
    </x:xf>
    <x:xf numFmtId="204" fontId="15" fillId="0" borderId="2" xfId="0" applyNumberFormat="1" applyFont="1" applyFill="1" applyBorder="1" applyAlignment="1">
      <x:alignment vertical="top" wrapText="1"/>
    </x:xf>
    <x:xf numFmtId="204" fontId="15" fillId="0" borderId="5" xfId="0" applyNumberFormat="1" applyFont="1" applyFill="1" applyBorder="1" applyAlignment="1">
      <x:alignment vertical="top" wrapText="1"/>
    </x:xf>
    <x:xf numFmtId="204" fontId="15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F7A4D"/>
      </x:font>
      <x:fill>
        <x:patternFill patternType="solid">
          <x:bgColor rgb="FFE7F5E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256229e2643d2" /><Relationship Type="http://schemas.openxmlformats.org/officeDocument/2006/relationships/theme" Target="/xl/theme/theme1.xml" Id="R87bcc1c28dd54369" /><Relationship Type="http://schemas.openxmlformats.org/officeDocument/2006/relationships/sharedStrings" Target="/xl/sharedStrings.xml" Id="Rf2d703e6df514f81" /><Relationship Type="http://schemas.openxmlformats.org/officeDocument/2006/relationships/worksheet" Target="/xl/worksheets/sheet1.xml" Id="R6b11109738a14bae" /><Relationship Type="http://schemas.openxmlformats.org/officeDocument/2006/relationships/worksheet" Target="/xl/worksheets/sheet2.xml" Id="Ra1ce0b51a18845e8" /><Relationship Type="http://schemas.openxmlformats.org/officeDocument/2006/relationships/worksheet" Target="/xl/worksheets/sheet3.xml" Id="Rdfd635c33a604183" /><Relationship Type="http://schemas.openxmlformats.org/officeDocument/2006/relationships/worksheet" Target="/xl/worksheets/sheet4.xml" Id="Rfbda0fadf0364d0e" /><Relationship Type="http://schemas.openxmlformats.org/officeDocument/2006/relationships/worksheet" Target="/xl/worksheets/sheet5.xml" Id="R5f1eeb5a33da4e56" /><Relationship Type="http://schemas.openxmlformats.org/officeDocument/2006/relationships/worksheet" Target="/xl/worksheets/sheet6.xml" Id="R1acacb6eaf594be8" /><Relationship Type="http://schemas.openxmlformats.org/officeDocument/2006/relationships/worksheet" Target="/xl/worksheets/sheet7.xml" Id="R7a02975040f648ab" /><Relationship Type="http://schemas.openxmlformats.org/officeDocument/2006/relationships/worksheet" Target="/xl/worksheets/sheet8.xml" Id="Rd2907147a29248b0" /><Relationship Type="http://schemas.openxmlformats.org/officeDocument/2006/relationships/worksheet" Target="/xl/worksheets/sheet9.xml" Id="Re76585a46e594dcd" /><Relationship Type="http://schemas.openxmlformats.org/officeDocument/2006/relationships/worksheet" Target="/xl/worksheets/sheet10.xml" Id="R2a1a6058668a4f3a" /><Relationship Type="http://schemas.openxmlformats.org/officeDocument/2006/relationships/worksheet" Target="/xl/worksheets/sheet11.xml" Id="R073551604c8641a4" /><Relationship Type="http://schemas.openxmlformats.org/officeDocument/2006/relationships/worksheet" Target="/xl/worksheets/sheet12.xml" Id="R5722d2cf5c5f435d" /><Relationship Type="http://schemas.openxmlformats.org/officeDocument/2006/relationships/worksheet" Target="/xl/worksheets/sheet13.xml" Id="R29ffd151e2b44ee1" /><Relationship Type="http://schemas.openxmlformats.org/officeDocument/2006/relationships/worksheet" Target="/xl/worksheets/sheet14.xml" Id="Rbd511d72cc4442cb" /><Relationship Type="http://schemas.openxmlformats.org/officeDocument/2006/relationships/worksheet" Target="/xl/worksheets/sheet15.xml" Id="R88ec742c1ea94ed6" /><Relationship Type="http://schemas.microsoft.com/office/2017/10/relationships/person" Target="/xl/persons/person.xml" Id="Rf17ac3e932b9417b" /></Relationships>
</file>

<file path=xl/persons/person.xml><?xml version="1.0" encoding="utf-8"?>
<xltc:personList xmlns:xltc="http://schemas.microsoft.com/office/spreadsheetml/2018/threadedcomments">
  <xltc:person displayName="Pixan evidence audit" id="{D9582C43-373D-4F73-909A-55089846B7D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7-17T14:32:58.84" personId="{D9582C43-373D-4F73-909A-55089846B7D4}" id="{A58825D7-6184-B14E-C42B-9923C840E01C}">
    <xltc:text>Source: https://skm.dk/media/nd0bwgno/indtaegtsliste-2025.xlsx. Combined nicotine-products-and-liquids account; not e-liquid-only.</xltc:text>
  </xltc:threadedComment>
  <xltc:threadedComment ref="B9" dT="2026-07-17T14:32:58.84" personId="{D9582C43-373D-4F73-909A-55089846B7D4}" id="{0B7296EC-E383-6DD2-2364-9644052104F3}">
    <xltc:text>Source: https://www.ft.dk/samling/20231/almdel/sau/spm/678/svar/2074316/2914215.pdf. Forecast rounded to DKK 5m; not actual accounts.</xltc:text>
  </xltc:threadedComment>
  <xltc:threadedComment ref="B14" dT="2026-07-17T14:32:58.84" personId="{D9582C43-373D-4F73-909A-55089846B7D4}" id="{A2E160A7-5DBB-22DC-AA5B-094D3186AB34}">
    <xltc:text>Source: https://cdn.who.int/media/docs/default-source/country-profiles/tobacco/gtrc-2025/tobacco-2025-dnk.pdf. Cheapest-brand price sensitivity only.</xltc:text>
  </xltc:threadedComment>
  <xltc:threadedComment ref="B18" dT="2026-07-17T14:32:58.84" personId="{D9582C43-373D-4F73-909A-55089846B7D4}" id="{AE6BA51B-8B4C-8F10-A91D-02B462D4F541}">
    <xltc:text>Source: https://ec.europa.eu/eurostat/api/comext/dissemination/statistics/1.0/data/DS-045409?freq=A&amp;reporter=DK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. Border net is not Danish consumer demand.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56a77153eac4264" /><Relationship Type="http://schemas.openxmlformats.org/officeDocument/2006/relationships/vmlDrawing" Target="/xl/drawings/vmldrawing.vml" Id="Rf35ec802dfa14750" /><Relationship Type="http://schemas.microsoft.com/office/2017/10/relationships/threadedComment" Target="/xl/threadedcomments/threadedcomment.xml" Id="R8a28e88b60fc49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1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</x:cols>
  <x:sheetData>
    <x:row r="1">
      <x:c r="A1" s="3" t="str">
        <x:v>Pixan | Denmark official evidence workbook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131" t="str">
        <x:v>Booked nicotine-category revenue, e-liquid forecast stress, registry, controls and Eurostat route audit | as of 2026-07-17</x:v>
      </x:c>
      <x:c r="B3" s="131"/>
      <x:c r="C3" s="131"/>
      <x:c r="D3" s="131"/>
      <x:c r="E3" s="131"/>
      <x:c r="F3" s="131"/>
      <x:c r="G3" s="131"/>
      <x:c r="H3" s="131"/>
    </x:row>
    <x:row r="4">
      <x:c r="A4" s="132"/>
      <x:c r="B4" s="132"/>
      <x:c r="C4" s="132"/>
      <x:c r="D4" s="132"/>
      <x:c r="E4" s="132"/>
      <x:c r="F4" s="132"/>
      <x:c r="G4" s="132"/>
      <x:c r="H4" s="132"/>
    </x:row>
    <x:row r="5">
      <x:c r="A5" s="133" t="str">
        <x:v>Key evidence</x:v>
      </x:c>
      <x:c r="B5" s="133" t="str">
        <x:v>Value</x:v>
      </x:c>
      <x:c r="C5" s="133" t="str">
        <x:v>Unit</x:v>
      </x:c>
      <x:c r="D5" s="133" t="str">
        <x:v>Interpretation</x:v>
      </x:c>
      <x:c r="E5" s="133"/>
      <x:c r="F5" s="133"/>
      <x:c r="G5" s="133"/>
      <x:c r="H5" s="133"/>
    </x:row>
    <x:row r="6" ht="40" customHeight="1">
      <x:c r="A6" s="90" t="str">
        <x:v>Official combined booked revenue, 2024</x:v>
      </x:c>
      <x:c r="B6" s="91" t="n">
        <x:f>'Revenue Actuals'!B2</x:f>
        <x:v>548495746.0507325</x:v>
      </x:c>
      <x:c r="C6" s="92" t="str">
        <x:v>DKK</x:v>
      </x:c>
      <x:c r="D6" s="93" t="str">
        <x:v>A-tier tax-account actual; nicotine products/pouches and nicotine liquids combined.</x:v>
      </x:c>
      <x:c r="E6" s="93"/>
      <x:c r="F6" s="93"/>
      <x:c r="G6" s="93"/>
      <x:c r="H6" s="94"/>
    </x:row>
    <x:row r="7" ht="40" customHeight="1">
      <x:c r="A7" s="95" t="str">
        <x:v>Official combined booked revenue, 2025</x:v>
      </x:c>
      <x:c r="B7" s="96" t="n">
        <x:f>'Revenue Actuals'!B3</x:f>
        <x:v>789133262.5257559</x:v>
      </x:c>
      <x:c r="C7" s="97" t="str">
        <x:v>DKK</x:v>
      </x:c>
      <x:c r="D7" s="98" t="str">
        <x:v>A-tier tax-account actual; not separable into e-liquid revenue.</x:v>
      </x:c>
      <x:c r="E7" s="98"/>
      <x:c r="F7" s="98"/>
      <x:c r="G7" s="98"/>
      <x:c r="H7" s="99"/>
    </x:row>
    <x:row r="8" ht="40" customHeight="1">
      <x:c r="A8" s="95" t="str">
        <x:v>Combined category growth, 2024-2025</x:v>
      </x:c>
      <x:c r="B8" s="100" t="n">
        <x:f>'Revenue Actuals'!D3</x:f>
        <x:v>0.4387226668714508</x:v>
      </x:c>
      <x:c r="C8" s="97" t="str">
        <x:v>%</x:v>
      </x:c>
      <x:c r="D8" s="98" t="str">
        <x:v>Growth of the combined account, not e-liquid growth.</x:v>
      </x:c>
      <x:c r="E8" s="98"/>
      <x:c r="F8" s="98"/>
      <x:c r="G8" s="98"/>
      <x:c r="H8" s="99"/>
    </x:row>
    <x:row r="9" ht="40" customHeight="1">
      <x:c r="A9" s="95" t="str">
        <x:v>Official 2025 e-liquid revenue forecast</x:v>
      </x:c>
      <x:c r="B9" s="101" t="n">
        <x:f>'Forecast Volume'!D2</x:f>
        <x:v>90000000</x:v>
      </x:c>
      <x:c r="C9" s="97" t="str">
        <x:v>DKK</x:v>
      </x:c>
      <x:c r="D9" s="98" t="str">
        <x:v>A-tier forecast rounded to the nearest DKK 5m; not booked actual.</x:v>
      </x:c>
      <x:c r="E9" s="98"/>
      <x:c r="F9" s="98"/>
      <x:c r="G9" s="98"/>
      <x:c r="H9" s="99"/>
    </x:row>
    <x:row r="10" ht="40" customHeight="1">
      <x:c r="A10" s="95" t="str">
        <x:v>Forecast share of combined actual</x:v>
      </x:c>
      <x:c r="B10" s="100" t="n">
        <x:f>'Forecast Bridge'!D2</x:f>
        <x:v>0.11404917809691562</x:v>
      </x:c>
      <x:c r="C10" s="97" t="str">
        <x:v>%</x:v>
      </x:c>
      <x:c r="D10" s="98" t="str">
        <x:v>Scope comparison only; it does not test forecast accuracy.</x:v>
      </x:c>
      <x:c r="E10" s="98"/>
      <x:c r="F10" s="98"/>
      <x:c r="G10" s="98"/>
      <x:c r="H10" s="99"/>
    </x:row>
    <x:row r="11" ht="40" customHeight="1">
      <x:c r="A11" s="95" t="str">
        <x:v>Forecast-implied point volume, high-rate case</x:v>
      </x:c>
      <x:c r="B11" s="102" t="n">
        <x:f>'Forecast Volume'!I2</x:f>
        <x:v>36000</x:v>
      </x:c>
      <x:c r="C11" s="97" t="str">
        <x:v>litres</x:v>
      </x:c>
      <x:c r="D11" s="98" t="str">
        <x:v>DKK 90m / DKK 2.50 per ml; forecast-derived, not observed volume.</x:v>
      </x:c>
      <x:c r="E11" s="98"/>
      <x:c r="F11" s="98"/>
      <x:c r="G11" s="98"/>
      <x:c r="H11" s="99"/>
    </x:row>
    <x:row r="12" ht="40" customHeight="1">
      <x:c r="A12" s="95" t="str">
        <x:v>Forecast-implied point volume, low-rate case</x:v>
      </x:c>
      <x:c r="B12" s="102" t="n">
        <x:f>'Forecast Volume'!I3</x:f>
        <x:v>60000</x:v>
      </x:c>
      <x:c r="C12" s="97" t="str">
        <x:v>litres</x:v>
      </x:c>
      <x:c r="D12" s="98" t="str">
        <x:v>DKK 90m / DKK 1.50 per ml; forecast-derived, not observed volume.</x:v>
      </x:c>
      <x:c r="E12" s="98"/>
      <x:c r="F12" s="98"/>
      <x:c r="G12" s="98"/>
      <x:c r="H12" s="99"/>
    </x:row>
    <x:row r="13" ht="40" customHeight="1">
      <x:c r="A13" s="95" t="str">
        <x:v>Price stress - downside</x:v>
      </x:c>
      <x:c r="B13" s="101" t="n">
        <x:f>'Price Stress'!G2</x:f>
        <x:v>145600000</x:v>
      </x:c>
      <x:c r="C13" s="97" t="str">
        <x:v>DKK</x:v>
      </x:c>
      <x:c r="D13" s="98" t="str">
        <x:v>Forecast-conditioned sensitivity using WHO price anchor -20%.</x:v>
      </x:c>
      <x:c r="E13" s="98"/>
      <x:c r="F13" s="98"/>
      <x:c r="G13" s="98"/>
      <x:c r="H13" s="99"/>
    </x:row>
    <x:row r="14" ht="40" customHeight="1">
      <x:c r="A14" s="95" t="str">
        <x:v>Price stress - central</x:v>
      </x:c>
      <x:c r="B14" s="101" t="n">
        <x:f>'Price Stress'!G3</x:f>
        <x:v>234000000</x:v>
      </x:c>
      <x:c r="C14" s="97" t="str">
        <x:v>DKK</x:v>
      </x:c>
      <x:c r="D14" s="98" t="str">
        <x:v>Equal-volume strength mix and WHO cheapest-brand 10ml anchor.</x:v>
      </x:c>
      <x:c r="E14" s="98"/>
      <x:c r="F14" s="98"/>
      <x:c r="G14" s="98"/>
      <x:c r="H14" s="99"/>
    </x:row>
    <x:row r="15" ht="40" customHeight="1">
      <x:c r="A15" s="95" t="str">
        <x:v>Price stress - upside</x:v>
      </x:c>
      <x:c r="B15" s="101" t="n">
        <x:f>'Price Stress'!G4</x:f>
        <x:v>384799999.99999994</x:v>
      </x:c>
      <x:c r="C15" s="97" t="str">
        <x:v>DKK</x:v>
      </x:c>
      <x:c r="D15" s="98" t="str">
        <x:v>Forecast-conditioned sensitivity using the rounding endpoint and +20% price.</x:v>
      </x:c>
      <x:c r="E15" s="98"/>
      <x:c r="F15" s="98"/>
      <x:c r="G15" s="98"/>
      <x:c r="H15" s="99"/>
    </x:row>
    <x:row r="16" ht="40" customHeight="1">
      <x:c r="A16" s="95" t="str">
        <x:v>2025 narrow WORLD imports</x:v>
      </x:c>
      <x:c r="B16" s="103" t="n">
        <x:f>'Customs Route'!E6</x:f>
        <x:v>14386010</x:v>
      </x:c>
      <x:c r="C16" s="97" t="str">
        <x:v>EUR</x:v>
      </x:c>
      <x:c r="D16" s="98" t="str">
        <x:v>CN 85434000 + 24041200 border value; not Danish retail sales.</x:v>
      </x:c>
      <x:c r="E16" s="98"/>
      <x:c r="F16" s="98"/>
      <x:c r="G16" s="98"/>
      <x:c r="H16" s="99"/>
    </x:row>
    <x:row r="17" ht="40" customHeight="1">
      <x:c r="A17" s="95" t="str">
        <x:v>2025 narrow WORLD exports</x:v>
      </x:c>
      <x:c r="B17" s="103" t="n">
        <x:f>'Customs Route'!F6</x:f>
        <x:v>904983</x:v>
      </x:c>
      <x:c r="C17" s="97" t="str">
        <x:v>EUR</x:v>
      </x:c>
      <x:c r="D17" s="98" t="str">
        <x:v>Destination-side dispatch/export value.</x:v>
      </x:c>
      <x:c r="E17" s="98"/>
      <x:c r="F17" s="98"/>
      <x:c r="G17" s="98"/>
      <x:c r="H17" s="99"/>
    </x:row>
    <x:row r="18" ht="40" customHeight="1">
      <x:c r="A18" s="95" t="str">
        <x:v>2025 narrow border net</x:v>
      </x:c>
      <x:c r="B18" s="103" t="n">
        <x:f>'Customs Route'!G6</x:f>
        <x:v>13481027</x:v>
      </x:c>
      <x:c r="C18" s="97" t="str">
        <x:v>EUR</x:v>
      </x:c>
      <x:c r="D18" s="98" t="str">
        <x:v>Imports minus exports; still not domestic demand.</x:v>
      </x:c>
      <x:c r="E18" s="98"/>
      <x:c r="F18" s="98"/>
      <x:c r="G18" s="98"/>
      <x:c r="H18" s="99"/>
    </x:row>
    <x:row r="19" ht="40" customHeight="1">
      <x:c r="A19" s="95" t="str">
        <x:v>Narrow extra-EU import share</x:v>
      </x:c>
      <x:c r="B19" s="100" t="n">
        <x:f>'Customs Route'!J6</x:f>
        <x:v>0.4226466546318263</x:v>
      </x:c>
      <x:c r="C19" s="97" t="str">
        <x:v>%</x:v>
      </x:c>
      <x:c r="D19" s="98" t="str">
        <x:v>Extra-EU partner is origin; intra-EU partner is consignment.</x:v>
      </x:c>
      <x:c r="E19" s="98"/>
      <x:c r="F19" s="98"/>
      <x:c r="G19" s="98"/>
      <x:c r="H19" s="99"/>
    </x:row>
    <x:row r="20" ht="40" customHeight="1">
      <x:c r="A20" s="95" t="str">
        <x:v>Registry rows / unique IDs</x:v>
      </x:c>
      <x:c r="B20" s="104" t="str">
        <x:f>'Product Registry'!F2&amp;" / "&amp;'Product Registry'!G2</x:f>
        <x:v>1198 / 545</x:v>
      </x:c>
      <x:c r="C20" s="97" t="str">
        <x:v>rows / IDs</x:v>
      </x:c>
      <x:c r="D20" s="98" t="str">
        <x:v>Live notified-product register snapshot; not sold products or completeness.</x:v>
      </x:c>
      <x:c r="E20" s="98"/>
      <x:c r="F20" s="98"/>
      <x:c r="G20" s="98"/>
      <x:c r="H20" s="99"/>
    </x:row>
    <x:row r="21" ht="40" customHeight="1">
      <x:c r="A21" s="105" t="str">
        <x:v>Risk-selected control hit rate</x:v>
      </x:c>
      <x:c r="B21" s="106" t="n">
        <x:f>'Controls'!F6</x:f>
        <x:v>0.7</x:v>
      </x:c>
      <x:c r="C21" s="107" t="str">
        <x:v>%</x:v>
      </x:c>
      <x:c r="D21" s="108" t="str">
        <x:v>2020-2024 average; not market-wide non-compliance or illegal share.</x:v>
      </x:c>
      <x:c r="E21" s="108"/>
      <x:c r="F21" s="108"/>
      <x:c r="G21" s="108"/>
      <x:c r="H21" s="109"/>
    </x:row>
    <x:row r="22">
      <x:c r="A22" s="132"/>
      <x:c r="B22" s="132"/>
      <x:c r="C22" s="132"/>
      <x:c r="D22" s="132"/>
      <x:c r="E22" s="132"/>
      <x:c r="F22" s="132"/>
      <x:c r="G22" s="132"/>
      <x:c r="H22" s="132"/>
    </x:row>
    <x:row r="23">
      <x:c r="A23" s="134" t="str">
        <x:v>Model status</x:v>
      </x:c>
      <x:c r="B23" s="135" t="str">
        <x:f>IF(COUNTIF(F26:F33,"OK")=8,"OK","REVIEW")</x:f>
        <x:v>OK</x:v>
      </x:c>
      <x:c r="C23" s="132"/>
      <x:c r="D23" s="132"/>
      <x:c r="E23" s="132"/>
      <x:c r="F23" s="132"/>
      <x:c r="G23" s="132"/>
      <x:c r="H23" s="132"/>
    </x:row>
    <x:row r="24">
      <x:c r="A24" s="132"/>
      <x:c r="B24" s="132"/>
      <x:c r="C24" s="132"/>
      <x:c r="D24" s="132"/>
      <x:c r="E24" s="132"/>
      <x:c r="F24" s="132"/>
      <x:c r="G24" s="132"/>
      <x:c r="H24" s="132"/>
    </x:row>
    <x:row r="25">
      <x:c r="A25" s="136" t="str">
        <x:v>Audit check</x:v>
      </x:c>
      <x:c r="B25" s="136" t="str">
        <x:v>Actual</x:v>
      </x:c>
      <x:c r="C25" s="136" t="str">
        <x:v>Expected</x:v>
      </x:c>
      <x:c r="D25" s="136" t="str">
        <x:v>Difference</x:v>
      </x:c>
      <x:c r="E25" s="136" t="str">
        <x:v>Tolerance</x:v>
      </x:c>
      <x:c r="F25" s="136" t="str">
        <x:v>Status</x:v>
      </x:c>
      <x:c r="G25" s="136" t="str">
        <x:v>Meaning</x:v>
      </x:c>
      <x:c r="H25" s="136"/>
    </x:row>
    <x:row r="26" ht="55" customHeight="1">
      <x:c r="A26" s="137" t="str">
        <x:v>2024 monthly revenue tie-out</x:v>
      </x:c>
      <x:c r="B26" s="138" t="n">
        <x:f>SUM('Monthly Revenue'!E2:E13)-'Revenue Actuals'!B2</x:f>
        <x:v>-2.384185791015625e-7</x:v>
      </x:c>
      <x:c r="C26" s="138" t="n">
        <x:v>0</x:v>
      </x:c>
      <x:c r="D26" s="138" t="n">
        <x:f>B26-C26</x:f>
        <x:v>-2.384185791015625e-7</x:v>
      </x:c>
      <x:c r="E26" s="138" t="n">
        <x:v>0.01</x:v>
      </x:c>
      <x:c r="F26" s="92" t="str">
        <x:f>IF(ABS(D26)&lt;=E26,"OK","REVIEW")</x:f>
        <x:v>OK</x:v>
      </x:c>
      <x:c r="G26" s="139" t="str">
        <x:v>Monthly booked values must equal the published 2024 FY cell.</x:v>
      </x:c>
      <x:c r="H26" s="140"/>
    </x:row>
    <x:row r="27" ht="55" customHeight="1">
      <x:c r="A27" s="141" t="str">
        <x:v>2025 monthly revenue tie-out</x:v>
      </x:c>
      <x:c r="B27" s="142" t="n">
        <x:f>SUM('Monthly Revenue'!E15:E26)-'Revenue Actuals'!B3</x:f>
        <x:v>1.1920928955078125e-7</x:v>
      </x:c>
      <x:c r="C27" s="142" t="n">
        <x:v>0</x:v>
      </x:c>
      <x:c r="D27" s="142" t="n">
        <x:f>B27-C27</x:f>
        <x:v>1.1920928955078125e-7</x:v>
      </x:c>
      <x:c r="E27" s="142" t="n">
        <x:v>0.01</x:v>
      </x:c>
      <x:c r="F27" s="97" t="str">
        <x:f>IF(ABS(D27)&lt;=E27,"OK","REVIEW")</x:f>
        <x:v>OK</x:v>
      </x:c>
      <x:c r="G27" s="143" t="str">
        <x:v>Monthly booked values must equal the published 2025 FY cell.</x:v>
      </x:c>
      <x:c r="H27" s="144"/>
    </x:row>
    <x:row r="28" ht="55" customHeight="1">
      <x:c r="A28" s="141" t="str">
        <x:v>Combined revenue growth formula</x:v>
      </x:c>
      <x:c r="B28" s="142" t="n">
        <x:f>'Revenue Actuals'!D3-('Revenue Actuals'!B3/'Revenue Actuals'!B2-1)</x:f>
        <x:v>0</x:v>
      </x:c>
      <x:c r="C28" s="142" t="n">
        <x:v>0</x:v>
      </x:c>
      <x:c r="D28" s="142" t="n">
        <x:f>B28-C28</x:f>
        <x:v>0</x:v>
      </x:c>
      <x:c r="E28" s="142" t="n">
        <x:v>0.000001</x:v>
      </x:c>
      <x:c r="F28" s="97" t="str">
        <x:f>IF(ABS(D28)&lt;=E28,"OK","REVIEW")</x:f>
        <x:v>OK</x:v>
      </x:c>
      <x:c r="G28" s="143" t="str">
        <x:v>Displayed growth must equal 2025/2024 minus one.</x:v>
      </x:c>
      <x:c r="H28" s="144"/>
    </x:row>
    <x:row r="29" ht="55" customHeight="1">
      <x:c r="A29" s="141" t="str">
        <x:v>Central stress arithmetic</x:v>
      </x:c>
      <x:c r="B29" s="142" t="n">
        <x:f>'Price Stress'!G3-('Price Stress'!D3*1000/10*'Price Stress'!F3)</x:f>
        <x:v>0</x:v>
      </x:c>
      <x:c r="C29" s="142" t="n">
        <x:v>0</x:v>
      </x:c>
      <x:c r="D29" s="142" t="n">
        <x:f>B29-C29</x:f>
        <x:v>0</x:v>
      </x:c>
      <x:c r="E29" s="142" t="n">
        <x:v>0.01</x:v>
      </x:c>
      <x:c r="F29" s="97" t="str">
        <x:f>IF(ABS(D29)&lt;=E29,"OK","REVIEW")</x:f>
        <x:v>OK</x:v>
      </x:c>
      <x:c r="G29" s="143" t="str">
        <x:v>Litres × 1000 / 10 × price per 10ml must equal central value.</x:v>
      </x:c>
      <x:c r="H29" s="144"/>
    </x:row>
    <x:row r="30" ht="55" customHeight="1">
      <x:c r="A30" s="141" t="str">
        <x:v>Narrow import route gap</x:v>
      </x:c>
      <x:c r="B30" s="142" t="n">
        <x:f>'Customs Route'!M6</x:f>
        <x:v>0</x:v>
      </x:c>
      <x:c r="C30" s="142" t="n">
        <x:v>0</x:v>
      </x:c>
      <x:c r="D30" s="142" t="n">
        <x:f>B30-C30</x:f>
        <x:v>0</x:v>
      </x:c>
      <x:c r="E30" s="142" t="n">
        <x:v>0</x:v>
      </x:c>
      <x:c r="F30" s="97" t="str">
        <x:f>IF(ABS(D30)&lt;=E30,"OK","REVIEW")</x:f>
        <x:v>OK</x:v>
      </x:c>
      <x:c r="G30" s="143" t="str">
        <x:v>WORLD imports must equal intra-EU plus extra-EU imports.</x:v>
      </x:c>
      <x:c r="H30" s="144"/>
    </x:row>
    <x:row r="31" ht="55" customHeight="1">
      <x:c r="A31" s="141" t="str">
        <x:v>Narrow export route gap</x:v>
      </x:c>
      <x:c r="B31" s="142" t="n">
        <x:f>'Customs Route'!N6</x:f>
        <x:v>0</x:v>
      </x:c>
      <x:c r="C31" s="142" t="n">
        <x:v>0</x:v>
      </x:c>
      <x:c r="D31" s="142" t="n">
        <x:f>B31-C31</x:f>
        <x:v>0</x:v>
      </x:c>
      <x:c r="E31" s="142" t="n">
        <x:v>0</x:v>
      </x:c>
      <x:c r="F31" s="97" t="str">
        <x:f>IF(ABS(D31)&lt;=E31,"OK","REVIEW")</x:f>
        <x:v>OK</x:v>
      </x:c>
      <x:c r="G31" s="143" t="str">
        <x:v>WORLD exports must equal intra-EU plus extra-EU exports.</x:v>
      </x:c>
      <x:c r="H31" s="144"/>
    </x:row>
    <x:row r="32" ht="55" customHeight="1">
      <x:c r="A32" s="141" t="str">
        <x:v>Registry total consistency</x:v>
      </x:c>
      <x:c r="B32" s="142" t="n">
        <x:f>SUM('Product Registry'!C2:C9)-'Product Registry'!F2</x:f>
        <x:v>0</x:v>
      </x:c>
      <x:c r="C32" s="142" t="n">
        <x:v>0</x:v>
      </x:c>
      <x:c r="D32" s="142" t="n">
        <x:f>B32-C32</x:f>
        <x:v>0</x:v>
      </x:c>
      <x:c r="E32" s="142" t="n">
        <x:v>0</x:v>
      </x:c>
      <x:c r="F32" s="97" t="str">
        <x:f>IF(ABS(D32)&lt;=E32,"OK","REVIEW")</x:f>
        <x:v>OK</x:v>
      </x:c>
      <x:c r="G32" s="143" t="str">
        <x:v>Product-type registry rows must total the displayed registry total.</x:v>
      </x:c>
      <x:c r="H32" s="144"/>
    </x:row>
    <x:row r="33" ht="55" customHeight="1">
      <x:c r="A33" s="141" t="str">
        <x:v>Displayed control total</x:v>
      </x:c>
      <x:c r="B33" s="142" t="n">
        <x:f>SUM('Controls'!E2:E6)</x:f>
        <x:v>3326</x:v>
      </x:c>
      <x:c r="C33" s="142" t="n">
        <x:v>3326</x:v>
      </x:c>
      <x:c r="D33" s="142" t="n">
        <x:f>B33-C33</x:f>
        <x:v>0</x:v>
      </x:c>
      <x:c r="E33" s="142" t="n">
        <x:v>0</x:v>
      </x:c>
      <x:c r="F33" s="97" t="str">
        <x:f>IF(ABS(D33)&lt;=E33,"OK","REVIEW")</x:f>
        <x:v>OK</x:v>
      </x:c>
      <x:c r="G33" s="143" t="str">
        <x:v>2020-2024 control counts must total the published displayed series.</x:v>
      </x:c>
      <x:c r="H33" s="144"/>
    </x:row>
    <x:row r="34" ht="55" customHeight="1">
      <x:c r="A34" s="145" t="str">
        <x:v>Separate e-liquid actual / EU-CEG sales</x:v>
      </x:c>
      <x:c r="B34" s="107"/>
      <x:c r="C34" s="107"/>
      <x:c r="D34" s="107"/>
      <x:c r="E34" s="107"/>
      <x:c r="F34" s="146" t="str">
        <x:v>LIMITATION</x:v>
      </x:c>
      <x:c r="G34" s="147" t="str">
        <x:v>PX-DK-001 and PX-DK-002 are ready; no message has been sent.</x:v>
      </x:c>
      <x:c r="H34" s="148"/>
    </x:row>
    <x:row r="35">
      <x:c r="A35" s="132"/>
      <x:c r="B35" s="132"/>
      <x:c r="C35" s="132"/>
      <x:c r="D35" s="132"/>
      <x:c r="E35" s="132"/>
      <x:c r="F35" s="132"/>
      <x:c r="G35" s="132"/>
      <x:c r="H35" s="132"/>
    </x:row>
    <x:row r="36">
      <x:c r="A36" s="149" t="str">
        <x:v>Evidence boundary</x:v>
      </x:c>
      <x:c r="B36" s="149"/>
      <x:c r="C36" s="149"/>
      <x:c r="D36" s="149"/>
      <x:c r="E36" s="149"/>
      <x:c r="F36" s="149"/>
      <x:c r="G36" s="149"/>
      <x:c r="H36" s="149"/>
    </x:row>
    <x:row r="37">
      <x:c r="A37" s="150" t="str">
        <x:v>• The DKK 789.133m booked 2025 account combines nicotine products/pouches and nicotine liquids. It is not e-liquid-only revenue, sales or market value.</x:v>
      </x:c>
      <x:c r="B37" s="150"/>
      <x:c r="C37" s="150"/>
      <x:c r="D37" s="150"/>
      <x:c r="E37" s="150"/>
      <x:c r="F37" s="150"/>
      <x:c r="G37" s="150"/>
      <x:c r="H37" s="150"/>
    </x:row>
    <x:row r="38">
      <x:c r="A38" s="151" t="str">
        <x:v>• The separate DKK 90m e-liquid figure is an official forecast rounded to the nearest DKK 5m. Rate-only implied litres are forecast-derived and not observed taxable volume.</x:v>
      </x:c>
      <x:c r="B38" s="151"/>
      <x:c r="C38" s="151"/>
      <x:c r="D38" s="151"/>
      <x:c r="E38" s="151"/>
      <x:c r="F38" s="151"/>
      <x:c r="G38" s="151"/>
      <x:c r="H38" s="151"/>
    </x:row>
    <x:row r="39">
      <x:c r="A39" s="150" t="str">
        <x:v>• The DKK 145.6m-384.8m price range is a disclosed stress test using a WHO cheapest-brand observation. It is not an official market valuation.</x:v>
      </x:c>
      <x:c r="B39" s="150"/>
      <x:c r="C39" s="150"/>
      <x:c r="D39" s="150"/>
      <x:c r="E39" s="150"/>
      <x:c r="F39" s="150"/>
      <x:c r="G39" s="150"/>
      <x:c r="H39" s="150"/>
    </x:row>
    <x:row r="40">
      <x:c r="A40" s="151" t="str">
        <x:v>• The public product register shows declarations, not sales, active SKUs, approvals or reporting completeness. Duplicate rows and product versions can exist.</x:v>
      </x:c>
      <x:c r="B40" s="151"/>
      <x:c r="C40" s="151"/>
      <x:c r="D40" s="151"/>
      <x:c r="E40" s="151"/>
      <x:c r="F40" s="151"/>
      <x:c r="G40" s="151"/>
      <x:c r="H40" s="151"/>
    </x:row>
    <x:row r="41">
      <x:c r="A41" s="150" t="str">
        <x:v>• The 70% hit rate covers risk-selected tobacco and nicotine controls. It must not be used as population non-compliance, illegal-market share or a sales-data hit rate.</x:v>
      </x:c>
      <x:c r="B41" s="150"/>
      <x:c r="C41" s="150"/>
      <x:c r="D41" s="150"/>
      <x:c r="E41" s="150"/>
      <x:c r="F41" s="150"/>
      <x:c r="G41" s="150"/>
      <x:c r="H41" s="150"/>
    </x:row>
    <x:row r="42">
      <x:c r="A42" s="151" t="str">
        <x:v>• Eurostat border values use origin for extra-EU imports and consignment for intra-EU imports. Croatia and Poland rows can reflect routing rather than production origin.</x:v>
      </x:c>
      <x:c r="B42" s="151"/>
      <x:c r="C42" s="151"/>
      <x:c r="D42" s="151"/>
      <x:c r="E42" s="151"/>
      <x:c r="F42" s="151"/>
      <x:c r="G42" s="151"/>
      <x:c r="H42" s="151"/>
    </x:row>
    <x:row r="43">
      <x:c r="A43" s="150" t="str">
        <x:v>• PX-DK-001 requests non-identifying EU-CEG annual units/ml/value and coverage. PX-DK-002 requests separate unrounded e-liquid tax bases and actual revenue. Neither has been sent.</x:v>
      </x:c>
      <x:c r="B43" s="150"/>
      <x:c r="C43" s="150"/>
      <x:c r="D43" s="150"/>
      <x:c r="E43" s="150"/>
      <x:c r="F43" s="150"/>
      <x:c r="G43" s="150"/>
      <x:c r="H43" s="150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D21:H21"/>
    <x:mergeCell ref="G25:H25"/>
    <x:mergeCell ref="G26:H26"/>
    <x:mergeCell ref="G27:H27"/>
    <x:mergeCell ref="G28:H28"/>
    <x:mergeCell ref="G29:H29"/>
    <x:mergeCell ref="G30:H30"/>
    <x:mergeCell ref="G31:H31"/>
    <x:mergeCell ref="G32:H32"/>
    <x:mergeCell ref="G33:H33"/>
    <x:mergeCell ref="G34:H34"/>
    <x:mergeCell ref="A36:H36"/>
    <x:mergeCell ref="A37:H37"/>
    <x:mergeCell ref="A38:H38"/>
    <x:mergeCell ref="A39:H39"/>
    <x:mergeCell ref="A40:H40"/>
    <x:mergeCell ref="A41:H41"/>
    <x:mergeCell ref="A42:H42"/>
    <x:mergeCell ref="A43:H43"/>
  </x:mergeCells>
  <x:conditionalFormatting sqref="F26:F33">
    <x:cfRule type="expression" dxfId="0" priority="1">
      <x:formula>F26="OK"</x:formula>
    </x:cfRule>
    <x:cfRule type="expression" dxfId="1" priority="2">
      <x:formula>F26="REVIEW"</x:formula>
    </x:cfRule>
  </x:conditionalFormatting>
  <x:pageMargins left="0.7" right="0.7" top="0.75" bottom="0.75" header="0.3" footer="0.3"/>
  <x:legacyDrawing xmlns:r="http://schemas.openxmlformats.org/officeDocument/2006/relationships" r:id="Rf35ec802dfa1475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55" hidden="0" customWidth="1"/>
    <x:col min="6" max="6" width="55" hidden="0" customWidth="1"/>
    <x:col min="7" max="7" width="55" hidden="0" customWidth="1"/>
  </x:cols>
  <x:sheetData>
    <x:row r="1" ht="26.399999618530273" hidden="0" customHeight="1">
      <x:c r="A1" s="158" t="str">
        <x:v>year</x:v>
      </x:c>
      <x:c r="B1" s="159" t="str">
        <x:v>category</x:v>
      </x:c>
      <x:c r="C1" s="159" t="str">
        <x:v>rate_dkk_per_ml</x:v>
      </x:c>
      <x:c r="D1" s="159" t="str">
        <x:v>rate_dkk_per_litre</x:v>
      </x:c>
      <x:c r="E1" s="159" t="str">
        <x:v>definition</x:v>
      </x:c>
      <x:c r="F1" s="159" t="str">
        <x:v>status</x:v>
      </x:c>
      <x:c r="G1" s="160" t="str">
        <x:v>source_url</x:v>
      </x:c>
    </x:row>
    <x:row r="2" ht="75.5999984741211" hidden="0" customHeight="1">
      <x:c r="A2" s="180" t="n">
        <x:v>2025</x:v>
      </x:c>
      <x:c r="B2" s="181" t="str">
        <x:v>nicotine_e_liquid_up_to_12mg_ml</x:v>
      </x:c>
      <x:c r="C2" s="189" t="n">
        <x:v>1.5</x:v>
      </x:c>
      <x:c r="D2" s="192" t="n">
        <x:v>1500</x:v>
      </x:c>
      <x:c r="E2" s="181" t="str">
        <x:v>nicotine content no more than 12 mg/ml</x:v>
      </x:c>
      <x:c r="F2" s="181" t="str">
        <x:v>official_rate_used_in_forecast_year</x:v>
      </x:c>
      <x:c r="G2" s="182" t="str">
        <x:v>https://www.ft.dk/samling/20231/almdel/sau/spm/678/svar/2074316/2914215.pdf</x:v>
      </x:c>
    </x:row>
    <x:row r="3" ht="75.5999984741211" hidden="0" customHeight="1">
      <x:c r="A3" s="183" t="n">
        <x:v>2025</x:v>
      </x:c>
      <x:c r="B3" s="184" t="str">
        <x:v>nicotine_e_liquid_above_12mg_ml</x:v>
      </x:c>
      <x:c r="C3" s="190" t="n">
        <x:v>2.5</x:v>
      </x:c>
      <x:c r="D3" s="193" t="n">
        <x:v>2500</x:v>
      </x:c>
      <x:c r="E3" s="184" t="str">
        <x:v>nicotine content above 12 mg/ml</x:v>
      </x:c>
      <x:c r="F3" s="184" t="str">
        <x:v>official_rate_used_in_forecast_year</x:v>
      </x:c>
      <x:c r="G3" s="185" t="str">
        <x:v>https://www.ft.dk/samling/20231/almdel/sau/spm/678/svar/2074316/2914215.pdf</x:v>
      </x:c>
    </x:row>
    <x:row r="4" ht="86.4000015258789" hidden="0" customHeight="1">
      <x:c r="A4" s="183" t="n">
        <x:v>2026</x:v>
      </x:c>
      <x:c r="B4" s="184" t="str">
        <x:v>nicotine_e_liquid_up_to_12mg_ml</x:v>
      </x:c>
      <x:c r="C4" s="190" t="n">
        <x:v>1.5</x:v>
      </x:c>
      <x:c r="D4" s="193" t="n">
        <x:v>1500</x:v>
      </x:c>
      <x:c r="E4" s="184" t="str">
        <x:v>nicotine content no more than 12 mg/ml</x:v>
      </x:c>
      <x:c r="F4" s="184" t="str">
        <x:v>official_current_rate</x:v>
      </x:c>
      <x:c r="G4" s="185" t="str">
        <x:v>https://skm.dk/tal-og-metode/satser/satser-og-beloebsgraenser-i-lovgivningen/forbrugsafgiftsloven</x:v>
      </x:c>
    </x:row>
    <x:row r="5" ht="86.4000015258789" hidden="0" customHeight="1">
      <x:c r="A5" s="183" t="n">
        <x:v>2026</x:v>
      </x:c>
      <x:c r="B5" s="184" t="str">
        <x:v>nicotine_e_liquid_above_12mg_ml</x:v>
      </x:c>
      <x:c r="C5" s="190" t="n">
        <x:v>2.5</x:v>
      </x:c>
      <x:c r="D5" s="193" t="n">
        <x:v>2500</x:v>
      </x:c>
      <x:c r="E5" s="184" t="str">
        <x:v>nicotine content above 12 mg/ml</x:v>
      </x:c>
      <x:c r="F5" s="184" t="str">
        <x:v>official_current_rate</x:v>
      </x:c>
      <x:c r="G5" s="185" t="str">
        <x:v>https://skm.dk/tal-og-metode/satser/satser-og-beloebsgraenser-i-lovgivningen/forbrugsafgiftsloven</x:v>
      </x:c>
    </x:row>
    <x:row r="6" ht="86.4000015258789" hidden="0" customHeight="1">
      <x:c r="A6" s="183" t="n">
        <x:v>2027</x:v>
      </x:c>
      <x:c r="B6" s="184" t="str">
        <x:v>nicotine_e_liquid_up_to_12mg_ml</x:v>
      </x:c>
      <x:c r="C6" s="190" t="n">
        <x:v>1.5</x:v>
      </x:c>
      <x:c r="D6" s="193" t="n">
        <x:v>1500</x:v>
      </x:c>
      <x:c r="E6" s="184" t="str">
        <x:v>nicotine content no more than 12 mg/ml</x:v>
      </x:c>
      <x:c r="F6" s="184" t="str">
        <x:v>official_published_rate</x:v>
      </x:c>
      <x:c r="G6" s="185" t="str">
        <x:v>https://skm.dk/tal-og-metode/satser/satser-og-beloebsgraenser-i-lovgivningen/forbrugsafgiftsloven</x:v>
      </x:c>
    </x:row>
    <x:row r="7" ht="86.4000015258789" hidden="0" customHeight="1">
      <x:c r="A7" s="186" t="n">
        <x:v>2027</x:v>
      </x:c>
      <x:c r="B7" s="187" t="str">
        <x:v>nicotine_e_liquid_above_12mg_ml</x:v>
      </x:c>
      <x:c r="C7" s="191" t="n">
        <x:v>2.5</x:v>
      </x:c>
      <x:c r="D7" s="194" t="n">
        <x:v>2500</x:v>
      </x:c>
      <x:c r="E7" s="187" t="str">
        <x:v>nicotine content above 12 mg/ml</x:v>
      </x:c>
      <x:c r="F7" s="187" t="str">
        <x:v>official_published_rate</x:v>
      </x:c>
      <x:c r="G7" s="188" t="str">
        <x:v>https://skm.dk/tal-og-metode/satser/satser-og-beloebsgraenser-i-lovgivningen/forbrugsafgiftsloven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52" hidden="0" customWidth="1"/>
    <x:col min="6" max="6" width="52" hidden="0" customWidth="1"/>
    <x:col min="7" max="7" width="52" hidden="0" customWidth="1"/>
    <x:col min="8" max="8" width="52" hidden="0" customWidth="1"/>
    <x:col min="9" max="9" width="52" hidden="0" customWidth="1"/>
    <x:col min="10" max="10" width="52" hidden="0" customWidth="1"/>
  </x:cols>
  <x:sheetData>
    <x:row r="1" ht="66" hidden="0" customHeight="1">
      <x:c r="A1" s="158" t="str">
        <x:v>year</x:v>
      </x:c>
      <x:c r="B1" s="159" t="str">
        <x:v>booked_combined_revenue_dkk</x:v>
      </x:c>
      <x:c r="C1" s="159" t="str">
        <x:v>booked_combined_revenue_million_dkk</x:v>
      </x:c>
      <x:c r="D1" s="159" t="str">
        <x:v>year_on_year_growth_pct</x:v>
      </x:c>
      <x:c r="E1" s="159" t="str">
        <x:v>status</x:v>
      </x:c>
      <x:c r="F1" s="159" t="str">
        <x:v>scope</x:v>
      </x:c>
      <x:c r="G1" s="159" t="str">
        <x:v>separable_e_liquid_actual</x:v>
      </x:c>
      <x:c r="H1" s="159" t="str">
        <x:v>boundary</x:v>
      </x:c>
      <x:c r="I1" s="159" t="str">
        <x:v>source_cell</x:v>
      </x:c>
      <x:c r="J1" s="160" t="str">
        <x:v>source_url</x:v>
      </x:c>
    </x:row>
    <x:row r="2" ht="86.4000015258789" hidden="0" customHeight="1">
      <x:c r="A2" s="180" t="n">
        <x:v>2024</x:v>
      </x:c>
      <x:c r="B2" s="195" t="n">
        <x:v>548495746.0507325</x:v>
      </x:c>
      <x:c r="C2" s="197" t="n">
        <x:v>548.4957460507325</x:v>
      </x:c>
      <x:c r="D2" s="199" t="str"/>
      <x:c r="E2" s="181" t="str">
        <x:v>official_booked_actual_combined_category</x:v>
      </x:c>
      <x:c r="F2" s="181" t="str">
        <x:v>nicotine products and nicotine liquids combined</x:v>
      </x:c>
      <x:c r="G2" s="181" t="str">
        <x:v>no</x:v>
      </x:c>
      <x:c r="H2" s="181" t="str">
        <x:v>not an e-liquid-only actual and cannot validate the DKK 90m e-liquid forecast</x:v>
      </x:c>
      <x:c r="I2" s="181" t="str">
        <x:v>P158</x:v>
      </x:c>
      <x:c r="J2" s="182" t="str">
        <x:v>https://skm.dk/media/nd0bwgno/indtaegtsliste-2025.xlsx</x:v>
      </x:c>
    </x:row>
    <x:row r="3" ht="86.4000015258789" hidden="0" customHeight="1">
      <x:c r="A3" s="186" t="n">
        <x:v>2025</x:v>
      </x:c>
      <x:c r="B3" s="196" t="n">
        <x:v>789133262.5257559</x:v>
      </x:c>
      <x:c r="C3" s="198" t="n">
        <x:v>789.1332625257559</x:v>
      </x:c>
      <x:c r="D3" s="201" t="n">
        <x:f>B3/B2-1</x:f>
        <x:v>0.4387226668714508</x:v>
      </x:c>
      <x:c r="E3" s="187" t="str">
        <x:v>official_booked_actual_combined_category</x:v>
      </x:c>
      <x:c r="F3" s="187" t="str">
        <x:v>nicotine products and nicotine liquids combined</x:v>
      </x:c>
      <x:c r="G3" s="187" t="str">
        <x:v>no</x:v>
      </x:c>
      <x:c r="H3" s="187" t="str">
        <x:v>not an e-liquid-only actual and cannot validate the DKK 90m e-liquid forecast</x:v>
      </x:c>
      <x:c r="I3" s="187" t="str">
        <x:v>P161</x:v>
      </x:c>
      <x:c r="J3" s="188" t="str">
        <x:v>https://skm.dk/media/nd0bwgno/indtaegtsliste-2025.xlsx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</x:cols>
  <x:sheetData>
    <x:row r="1" ht="52.79999923706055" hidden="0" customHeight="1">
      <x:c r="A1" s="158" t="str">
        <x:v>year</x:v>
      </x:c>
      <x:c r="B1" s="159" t="str">
        <x:v>period</x:v>
      </x:c>
      <x:c r="C1" s="159" t="str">
        <x:v>period_index</x:v>
      </x:c>
      <x:c r="D1" s="159" t="str">
        <x:v>booked_revenue_thousand_dkk</x:v>
      </x:c>
      <x:c r="E1" s="159" t="str">
        <x:v>booked_revenue_dkk</x:v>
      </x:c>
      <x:c r="F1" s="159" t="str">
        <x:v>status</x:v>
      </x:c>
      <x:c r="G1" s="159" t="str">
        <x:v>scope</x:v>
      </x:c>
      <x:c r="H1" s="159" t="str">
        <x:v>boundary</x:v>
      </x:c>
      <x:c r="I1" s="159" t="str">
        <x:v>source_file</x:v>
      </x:c>
      <x:c r="J1" s="159" t="str">
        <x:v>source_sheet</x:v>
      </x:c>
      <x:c r="K1" s="159" t="str">
        <x:v>source_cell</x:v>
      </x:c>
      <x:c r="L1" s="160" t="str">
        <x:v>source_url</x:v>
      </x:c>
    </x:row>
    <x:row r="2" ht="97.19999694824219" hidden="0" customHeight="1">
      <x:c r="A2" s="180" t="n">
        <x:v>2024</x:v>
      </x:c>
      <x:c r="B2" s="181" t="str">
        <x:v>Jan. 2024</x:v>
      </x:c>
      <x:c r="C2" s="181" t="n">
        <x:v>1</x:v>
      </x:c>
      <x:c r="D2" s="202" t="n">
        <x:v>8508.664871280378</x:v>
      </x:c>
      <x:c r="E2" s="195" t="n">
        <x:v>8508664.871280378</x:v>
      </x:c>
      <x:c r="F2" s="181" t="str">
        <x:v>official_booked_actual_combined_category</x:v>
      </x:c>
      <x:c r="G2" s="181" t="str">
        <x:v>nicotine_products_and_nicotine_liquids_combined</x:v>
      </x:c>
      <x:c r="H2" s="181" t="str">
        <x:v>cannot be separated into e-liquid and nicotine-product revenue from this public account</x:v>
      </x:c>
      <x:c r="I2" s="181" t="str">
        <x:v>skm_revenue_list_2025.xlsx</x:v>
      </x:c>
      <x:c r="J2" s="181" t="str">
        <x:v>Indtægtslister_2024</x:v>
      </x:c>
      <x:c r="K2" s="181" t="str">
        <x:v>D158</x:v>
      </x:c>
      <x:c r="L2" s="182" t="str">
        <x:v>https://skm.dk/media/nd0bwgno/indtaegtsliste-2025.xlsx</x:v>
      </x:c>
    </x:row>
    <x:row r="3" ht="97.19999694824219" hidden="0" customHeight="1">
      <x:c r="A3" s="183" t="n">
        <x:v>2024</x:v>
      </x:c>
      <x:c r="B3" s="184" t="str">
        <x:v>Feb. 2024</x:v>
      </x:c>
      <x:c r="C3" s="184" t="n">
        <x:v>2</x:v>
      </x:c>
      <x:c r="D3" s="203" t="n">
        <x:v>16738.277454651976</x:v>
      </x:c>
      <x:c r="E3" s="205" t="n">
        <x:v>16738277.454651976</x:v>
      </x:c>
      <x:c r="F3" s="184" t="str">
        <x:v>official_booked_actual_combined_category</x:v>
      </x:c>
      <x:c r="G3" s="184" t="str">
        <x:v>nicotine_products_and_nicotine_liquids_combined</x:v>
      </x:c>
      <x:c r="H3" s="184" t="str">
        <x:v>cannot be separated into e-liquid and nicotine-product revenue from this public account</x:v>
      </x:c>
      <x:c r="I3" s="184" t="str">
        <x:v>skm_revenue_list_2025.xlsx</x:v>
      </x:c>
      <x:c r="J3" s="184" t="str">
        <x:v>Indtægtslister_2024</x:v>
      </x:c>
      <x:c r="K3" s="184" t="str">
        <x:v>E158</x:v>
      </x:c>
      <x:c r="L3" s="185" t="str">
        <x:v>https://skm.dk/media/nd0bwgno/indtaegtsliste-2025.xlsx</x:v>
      </x:c>
    </x:row>
    <x:row r="4" ht="97.19999694824219" hidden="0" customHeight="1">
      <x:c r="A4" s="183" t="n">
        <x:v>2024</x:v>
      </x:c>
      <x:c r="B4" s="184" t="str">
        <x:v>Mar. 2024</x:v>
      </x:c>
      <x:c r="C4" s="184" t="n">
        <x:v>3</x:v>
      </x:c>
      <x:c r="D4" s="203" t="n">
        <x:v>47906.07929608933</x:v>
      </x:c>
      <x:c r="E4" s="205" t="n">
        <x:v>47906079.29608933</x:v>
      </x:c>
      <x:c r="F4" s="184" t="str">
        <x:v>official_booked_actual_combined_category</x:v>
      </x:c>
      <x:c r="G4" s="184" t="str">
        <x:v>nicotine_products_and_nicotine_liquids_combined</x:v>
      </x:c>
      <x:c r="H4" s="184" t="str">
        <x:v>cannot be separated into e-liquid and nicotine-product revenue from this public account</x:v>
      </x:c>
      <x:c r="I4" s="184" t="str">
        <x:v>skm_revenue_list_2025.xlsx</x:v>
      </x:c>
      <x:c r="J4" s="184" t="str">
        <x:v>Indtægtslister_2024</x:v>
      </x:c>
      <x:c r="K4" s="184" t="str">
        <x:v>F158</x:v>
      </x:c>
      <x:c r="L4" s="185" t="str">
        <x:v>https://skm.dk/media/nd0bwgno/indtaegtsliste-2025.xlsx</x:v>
      </x:c>
    </x:row>
    <x:row r="5" ht="97.19999694824219" hidden="0" customHeight="1">
      <x:c r="A5" s="183" t="n">
        <x:v>2024</x:v>
      </x:c>
      <x:c r="B5" s="184" t="str">
        <x:v>Apr. 2024</x:v>
      </x:c>
      <x:c r="C5" s="184" t="n">
        <x:v>4</x:v>
      </x:c>
      <x:c r="D5" s="203" t="n">
        <x:v>39721.424992210195</x:v>
      </x:c>
      <x:c r="E5" s="205" t="n">
        <x:v>39721424.992210194</x:v>
      </x:c>
      <x:c r="F5" s="184" t="str">
        <x:v>official_booked_actual_combined_category</x:v>
      </x:c>
      <x:c r="G5" s="184" t="str">
        <x:v>nicotine_products_and_nicotine_liquids_combined</x:v>
      </x:c>
      <x:c r="H5" s="184" t="str">
        <x:v>cannot be separated into e-liquid and nicotine-product revenue from this public account</x:v>
      </x:c>
      <x:c r="I5" s="184" t="str">
        <x:v>skm_revenue_list_2025.xlsx</x:v>
      </x:c>
      <x:c r="J5" s="184" t="str">
        <x:v>Indtægtslister_2024</x:v>
      </x:c>
      <x:c r="K5" s="184" t="str">
        <x:v>G158</x:v>
      </x:c>
      <x:c r="L5" s="185" t="str">
        <x:v>https://skm.dk/media/nd0bwgno/indtaegtsliste-2025.xlsx</x:v>
      </x:c>
    </x:row>
    <x:row r="6" ht="97.19999694824219" hidden="0" customHeight="1">
      <x:c r="A6" s="183" t="n">
        <x:v>2024</x:v>
      </x:c>
      <x:c r="B6" s="184" t="str">
        <x:v>Maj. 2024</x:v>
      </x:c>
      <x:c r="C6" s="184" t="n">
        <x:v>5</x:v>
      </x:c>
      <x:c r="D6" s="203" t="n">
        <x:v>37494.7160225344</x:v>
      </x:c>
      <x:c r="E6" s="205" t="n">
        <x:v>37494716.0225344</x:v>
      </x:c>
      <x:c r="F6" s="184" t="str">
        <x:v>official_booked_actual_combined_category</x:v>
      </x:c>
      <x:c r="G6" s="184" t="str">
        <x:v>nicotine_products_and_nicotine_liquids_combined</x:v>
      </x:c>
      <x:c r="H6" s="184" t="str">
        <x:v>cannot be separated into e-liquid and nicotine-product revenue from this public account</x:v>
      </x:c>
      <x:c r="I6" s="184" t="str">
        <x:v>skm_revenue_list_2025.xlsx</x:v>
      </x:c>
      <x:c r="J6" s="184" t="str">
        <x:v>Indtægtslister_2024</x:v>
      </x:c>
      <x:c r="K6" s="184" t="str">
        <x:v>H158</x:v>
      </x:c>
      <x:c r="L6" s="185" t="str">
        <x:v>https://skm.dk/media/nd0bwgno/indtaegtsliste-2025.xlsx</x:v>
      </x:c>
    </x:row>
    <x:row r="7" ht="97.19999694824219" hidden="0" customHeight="1">
      <x:c r="A7" s="183" t="n">
        <x:v>2024</x:v>
      </x:c>
      <x:c r="B7" s="184" t="str">
        <x:v>Jun. 2024</x:v>
      </x:c>
      <x:c r="C7" s="184" t="n">
        <x:v>6</x:v>
      </x:c>
      <x:c r="D7" s="203" t="n">
        <x:v>56256.75559527762</x:v>
      </x:c>
      <x:c r="E7" s="205" t="n">
        <x:v>56256755.595277615</x:v>
      </x:c>
      <x:c r="F7" s="184" t="str">
        <x:v>official_booked_actual_combined_category</x:v>
      </x:c>
      <x:c r="G7" s="184" t="str">
        <x:v>nicotine_products_and_nicotine_liquids_combined</x:v>
      </x:c>
      <x:c r="H7" s="184" t="str">
        <x:v>cannot be separated into e-liquid and nicotine-product revenue from this public account</x:v>
      </x:c>
      <x:c r="I7" s="184" t="str">
        <x:v>skm_revenue_list_2025.xlsx</x:v>
      </x:c>
      <x:c r="J7" s="184" t="str">
        <x:v>Indtægtslister_2024</x:v>
      </x:c>
      <x:c r="K7" s="184" t="str">
        <x:v>I158</x:v>
      </x:c>
      <x:c r="L7" s="185" t="str">
        <x:v>https://skm.dk/media/nd0bwgno/indtaegtsliste-2025.xlsx</x:v>
      </x:c>
    </x:row>
    <x:row r="8" ht="97.19999694824219" hidden="0" customHeight="1">
      <x:c r="A8" s="183" t="n">
        <x:v>2024</x:v>
      </x:c>
      <x:c r="B8" s="184" t="str">
        <x:v>Jul. 2024</x:v>
      </x:c>
      <x:c r="C8" s="184" t="n">
        <x:v>7</x:v>
      </x:c>
      <x:c r="D8" s="203" t="n">
        <x:v>63149.74101948472</x:v>
      </x:c>
      <x:c r="E8" s="205" t="n">
        <x:v>63149741.01948472</x:v>
      </x:c>
      <x:c r="F8" s="184" t="str">
        <x:v>official_booked_actual_combined_category</x:v>
      </x:c>
      <x:c r="G8" s="184" t="str">
        <x:v>nicotine_products_and_nicotine_liquids_combined</x:v>
      </x:c>
      <x:c r="H8" s="184" t="str">
        <x:v>cannot be separated into e-liquid and nicotine-product revenue from this public account</x:v>
      </x:c>
      <x:c r="I8" s="184" t="str">
        <x:v>skm_revenue_list_2025.xlsx</x:v>
      </x:c>
      <x:c r="J8" s="184" t="str">
        <x:v>Indtægtslister_2024</x:v>
      </x:c>
      <x:c r="K8" s="184" t="str">
        <x:v>J158</x:v>
      </x:c>
      <x:c r="L8" s="185" t="str">
        <x:v>https://skm.dk/media/nd0bwgno/indtaegtsliste-2025.xlsx</x:v>
      </x:c>
    </x:row>
    <x:row r="9" ht="97.19999694824219" hidden="0" customHeight="1">
      <x:c r="A9" s="183" t="n">
        <x:v>2024</x:v>
      </x:c>
      <x:c r="B9" s="184" t="str">
        <x:v>Aug. 2024</x:v>
      </x:c>
      <x:c r="C9" s="184" t="n">
        <x:v>8</x:v>
      </x:c>
      <x:c r="D9" s="203" t="n">
        <x:v>33694.670744944466</x:v>
      </x:c>
      <x:c r="E9" s="205" t="n">
        <x:v>33694670.74494447</x:v>
      </x:c>
      <x:c r="F9" s="184" t="str">
        <x:v>official_booked_actual_combined_category</x:v>
      </x:c>
      <x:c r="G9" s="184" t="str">
        <x:v>nicotine_products_and_nicotine_liquids_combined</x:v>
      </x:c>
      <x:c r="H9" s="184" t="str">
        <x:v>cannot be separated into e-liquid and nicotine-product revenue from this public account</x:v>
      </x:c>
      <x:c r="I9" s="184" t="str">
        <x:v>skm_revenue_list_2025.xlsx</x:v>
      </x:c>
      <x:c r="J9" s="184" t="str">
        <x:v>Indtægtslister_2024</x:v>
      </x:c>
      <x:c r="K9" s="184" t="str">
        <x:v>K158</x:v>
      </x:c>
      <x:c r="L9" s="185" t="str">
        <x:v>https://skm.dk/media/nd0bwgno/indtaegtsliste-2025.xlsx</x:v>
      </x:c>
    </x:row>
    <x:row r="10" ht="97.19999694824219" hidden="0" customHeight="1">
      <x:c r="A10" s="183" t="n">
        <x:v>2024</x:v>
      </x:c>
      <x:c r="B10" s="184" t="str">
        <x:v>Sep. 2024</x:v>
      </x:c>
      <x:c r="C10" s="184" t="n">
        <x:v>9</x:v>
      </x:c>
      <x:c r="D10" s="203" t="n">
        <x:v>48609.88532761837</x:v>
      </x:c>
      <x:c r="E10" s="205" t="n">
        <x:v>48609885.327618375</x:v>
      </x:c>
      <x:c r="F10" s="184" t="str">
        <x:v>official_booked_actual_combined_category</x:v>
      </x:c>
      <x:c r="G10" s="184" t="str">
        <x:v>nicotine_products_and_nicotine_liquids_combined</x:v>
      </x:c>
      <x:c r="H10" s="184" t="str">
        <x:v>cannot be separated into e-liquid and nicotine-product revenue from this public account</x:v>
      </x:c>
      <x:c r="I10" s="184" t="str">
        <x:v>skm_revenue_list_2025.xlsx</x:v>
      </x:c>
      <x:c r="J10" s="184" t="str">
        <x:v>Indtægtslister_2024</x:v>
      </x:c>
      <x:c r="K10" s="184" t="str">
        <x:v>L158</x:v>
      </x:c>
      <x:c r="L10" s="185" t="str">
        <x:v>https://skm.dk/media/nd0bwgno/indtaegtsliste-2025.xlsx</x:v>
      </x:c>
    </x:row>
    <x:row r="11" ht="97.19999694824219" hidden="0" customHeight="1">
      <x:c r="A11" s="183" t="n">
        <x:v>2024</x:v>
      </x:c>
      <x:c r="B11" s="184" t="str">
        <x:v>Okt. 2024</x:v>
      </x:c>
      <x:c r="C11" s="184" t="n">
        <x:v>10</x:v>
      </x:c>
      <x:c r="D11" s="203" t="n">
        <x:v>101723.24255457432</x:v>
      </x:c>
      <x:c r="E11" s="205" t="n">
        <x:v>101723242.55457431</x:v>
      </x:c>
      <x:c r="F11" s="184" t="str">
        <x:v>official_booked_actual_combined_category</x:v>
      </x:c>
      <x:c r="G11" s="184" t="str">
        <x:v>nicotine_products_and_nicotine_liquids_combined</x:v>
      </x:c>
      <x:c r="H11" s="184" t="str">
        <x:v>cannot be separated into e-liquid and nicotine-product revenue from this public account</x:v>
      </x:c>
      <x:c r="I11" s="184" t="str">
        <x:v>skm_revenue_list_2025.xlsx</x:v>
      </x:c>
      <x:c r="J11" s="184" t="str">
        <x:v>Indtægtslister_2024</x:v>
      </x:c>
      <x:c r="K11" s="184" t="str">
        <x:v>M158</x:v>
      </x:c>
      <x:c r="L11" s="185" t="str">
        <x:v>https://skm.dk/media/nd0bwgno/indtaegtsliste-2025.xlsx</x:v>
      </x:c>
    </x:row>
    <x:row r="12" ht="97.19999694824219" hidden="0" customHeight="1">
      <x:c r="A12" s="183" t="n">
        <x:v>2024</x:v>
      </x:c>
      <x:c r="B12" s="184" t="str">
        <x:v>Nov. 2024</x:v>
      </x:c>
      <x:c r="C12" s="184" t="n">
        <x:v>11</x:v>
      </x:c>
      <x:c r="D12" s="203" t="n">
        <x:v>35386.33243785829</x:v>
      </x:c>
      <x:c r="E12" s="205" t="n">
        <x:v>35386332.43785829</x:v>
      </x:c>
      <x:c r="F12" s="184" t="str">
        <x:v>official_booked_actual_combined_category</x:v>
      </x:c>
      <x:c r="G12" s="184" t="str">
        <x:v>nicotine_products_and_nicotine_liquids_combined</x:v>
      </x:c>
      <x:c r="H12" s="184" t="str">
        <x:v>cannot be separated into e-liquid and nicotine-product revenue from this public account</x:v>
      </x:c>
      <x:c r="I12" s="184" t="str">
        <x:v>skm_revenue_list_2025.xlsx</x:v>
      </x:c>
      <x:c r="J12" s="184" t="str">
        <x:v>Indtægtslister_2024</x:v>
      </x:c>
      <x:c r="K12" s="184" t="str">
        <x:v>N158</x:v>
      </x:c>
      <x:c r="L12" s="185" t="str">
        <x:v>https://skm.dk/media/nd0bwgno/indtaegtsliste-2025.xlsx</x:v>
      </x:c>
    </x:row>
    <x:row r="13" ht="97.19999694824219" hidden="0" customHeight="1">
      <x:c r="A13" s="183" t="n">
        <x:v>2024</x:v>
      </x:c>
      <x:c r="B13" s="184" t="str">
        <x:v>Dec. 2024</x:v>
      </x:c>
      <x:c r="C13" s="184" t="n">
        <x:v>12</x:v>
      </x:c>
      <x:c r="D13" s="203" t="n">
        <x:v>59305.95573420831</x:v>
      </x:c>
      <x:c r="E13" s="205" t="n">
        <x:v>59305955.734208316</x:v>
      </x:c>
      <x:c r="F13" s="184" t="str">
        <x:v>official_booked_actual_combined_category</x:v>
      </x:c>
      <x:c r="G13" s="184" t="str">
        <x:v>nicotine_products_and_nicotine_liquids_combined</x:v>
      </x:c>
      <x:c r="H13" s="184" t="str">
        <x:v>cannot be separated into e-liquid and nicotine-product revenue from this public account</x:v>
      </x:c>
      <x:c r="I13" s="184" t="str">
        <x:v>skm_revenue_list_2025.xlsx</x:v>
      </x:c>
      <x:c r="J13" s="184" t="str">
        <x:v>Indtægtslister_2024</x:v>
      </x:c>
      <x:c r="K13" s="184" t="str">
        <x:v>O158</x:v>
      </x:c>
      <x:c r="L13" s="185" t="str">
        <x:v>https://skm.dk/media/nd0bwgno/indtaegtsliste-2025.xlsx</x:v>
      </x:c>
    </x:row>
    <x:row r="14" ht="97.19999694824219" hidden="0" customHeight="1">
      <x:c r="A14" s="183" t="n">
        <x:v>2024</x:v>
      </x:c>
      <x:c r="B14" s="184" t="str">
        <x:v>FY</x:v>
      </x:c>
      <x:c r="C14" s="184" t="n">
        <x:v>13</x:v>
      </x:c>
      <x:c r="D14" s="203" t="n">
        <x:v>548495.7460507324</x:v>
      </x:c>
      <x:c r="E14" s="205" t="n">
        <x:v>548495746.0507325</x:v>
      </x:c>
      <x:c r="F14" s="184" t="str">
        <x:v>official_booked_actual_combined_category</x:v>
      </x:c>
      <x:c r="G14" s="184" t="str">
        <x:v>nicotine_products_and_nicotine_liquids_combined</x:v>
      </x:c>
      <x:c r="H14" s="184" t="str">
        <x:v>cannot be separated into e-liquid and nicotine-product revenue from this public account</x:v>
      </x:c>
      <x:c r="I14" s="184" t="str">
        <x:v>skm_revenue_list_2025.xlsx</x:v>
      </x:c>
      <x:c r="J14" s="184" t="str">
        <x:v>Indtægtslister_2024</x:v>
      </x:c>
      <x:c r="K14" s="184" t="str">
        <x:v>P158</x:v>
      </x:c>
      <x:c r="L14" s="185" t="str">
        <x:v>https://skm.dk/media/nd0bwgno/indtaegtsliste-2025.xlsx</x:v>
      </x:c>
    </x:row>
    <x:row r="15" ht="97.19999694824219" hidden="0" customHeight="1">
      <x:c r="A15" s="183" t="n">
        <x:v>2025</x:v>
      </x:c>
      <x:c r="B15" s="184" t="str">
        <x:v>Jan. 2025</x:v>
      </x:c>
      <x:c r="C15" s="184" t="n">
        <x:v>1</x:v>
      </x:c>
      <x:c r="D15" s="203" t="n">
        <x:v>40852.80278056632</x:v>
      </x:c>
      <x:c r="E15" s="205" t="n">
        <x:v>40852802.78056632</x:v>
      </x:c>
      <x:c r="F15" s="184" t="str">
        <x:v>official_booked_actual_combined_category</x:v>
      </x:c>
      <x:c r="G15" s="184" t="str">
        <x:v>nicotine_products_and_nicotine_liquids_combined</x:v>
      </x:c>
      <x:c r="H15" s="184" t="str">
        <x:v>cannot be separated into e-liquid and nicotine-product revenue from this public account</x:v>
      </x:c>
      <x:c r="I15" s="184" t="str">
        <x:v>skm_revenue_list_2025.xlsx</x:v>
      </x:c>
      <x:c r="J15" s="184" t="str">
        <x:v>Indtægtslister_2025</x:v>
      </x:c>
      <x:c r="K15" s="184" t="str">
        <x:v>D161</x:v>
      </x:c>
      <x:c r="L15" s="185" t="str">
        <x:v>https://skm.dk/media/nd0bwgno/indtaegtsliste-2025.xlsx</x:v>
      </x:c>
    </x:row>
    <x:row r="16" ht="97.19999694824219" hidden="0" customHeight="1">
      <x:c r="A16" s="183" t="n">
        <x:v>2025</x:v>
      </x:c>
      <x:c r="B16" s="184" t="str">
        <x:v>Feb. 2025</x:v>
      </x:c>
      <x:c r="C16" s="184" t="n">
        <x:v>2</x:v>
      </x:c>
      <x:c r="D16" s="203" t="n">
        <x:v>99741.11843284019</x:v>
      </x:c>
      <x:c r="E16" s="205" t="n">
        <x:v>99741118.43284018</x:v>
      </x:c>
      <x:c r="F16" s="184" t="str">
        <x:v>official_booked_actual_combined_category</x:v>
      </x:c>
      <x:c r="G16" s="184" t="str">
        <x:v>nicotine_products_and_nicotine_liquids_combined</x:v>
      </x:c>
      <x:c r="H16" s="184" t="str">
        <x:v>cannot be separated into e-liquid and nicotine-product revenue from this public account</x:v>
      </x:c>
      <x:c r="I16" s="184" t="str">
        <x:v>skm_revenue_list_2025.xlsx</x:v>
      </x:c>
      <x:c r="J16" s="184" t="str">
        <x:v>Indtægtslister_2025</x:v>
      </x:c>
      <x:c r="K16" s="184" t="str">
        <x:v>E161</x:v>
      </x:c>
      <x:c r="L16" s="185" t="str">
        <x:v>https://skm.dk/media/nd0bwgno/indtaegtsliste-2025.xlsx</x:v>
      </x:c>
    </x:row>
    <x:row r="17" ht="97.19999694824219" hidden="0" customHeight="1">
      <x:c r="A17" s="183" t="n">
        <x:v>2025</x:v>
      </x:c>
      <x:c r="B17" s="184" t="str">
        <x:v>Mar. 2025</x:v>
      </x:c>
      <x:c r="C17" s="184" t="n">
        <x:v>3</x:v>
      </x:c>
      <x:c r="D17" s="203" t="n">
        <x:v>98930.32750611145</x:v>
      </x:c>
      <x:c r="E17" s="205" t="n">
        <x:v>98930327.50611146</x:v>
      </x:c>
      <x:c r="F17" s="184" t="str">
        <x:v>official_booked_actual_combined_category</x:v>
      </x:c>
      <x:c r="G17" s="184" t="str">
        <x:v>nicotine_products_and_nicotine_liquids_combined</x:v>
      </x:c>
      <x:c r="H17" s="184" t="str">
        <x:v>cannot be separated into e-liquid and nicotine-product revenue from this public account</x:v>
      </x:c>
      <x:c r="I17" s="184" t="str">
        <x:v>skm_revenue_list_2025.xlsx</x:v>
      </x:c>
      <x:c r="J17" s="184" t="str">
        <x:v>Indtægtslister_2025</x:v>
      </x:c>
      <x:c r="K17" s="184" t="str">
        <x:v>F161</x:v>
      </x:c>
      <x:c r="L17" s="185" t="str">
        <x:v>https://skm.dk/media/nd0bwgno/indtaegtsliste-2025.xlsx</x:v>
      </x:c>
    </x:row>
    <x:row r="18" ht="97.19999694824219" hidden="0" customHeight="1">
      <x:c r="A18" s="183" t="n">
        <x:v>2025</x:v>
      </x:c>
      <x:c r="B18" s="184" t="str">
        <x:v>Apr. 2025</x:v>
      </x:c>
      <x:c r="C18" s="184" t="n">
        <x:v>4</x:v>
      </x:c>
      <x:c r="D18" s="203" t="n">
        <x:v>121692.41491385738</x:v>
      </x:c>
      <x:c r="E18" s="205" t="n">
        <x:v>121692414.91385739</x:v>
      </x:c>
      <x:c r="F18" s="184" t="str">
        <x:v>official_booked_actual_combined_category</x:v>
      </x:c>
      <x:c r="G18" s="184" t="str">
        <x:v>nicotine_products_and_nicotine_liquids_combined</x:v>
      </x:c>
      <x:c r="H18" s="184" t="str">
        <x:v>cannot be separated into e-liquid and nicotine-product revenue from this public account</x:v>
      </x:c>
      <x:c r="I18" s="184" t="str">
        <x:v>skm_revenue_list_2025.xlsx</x:v>
      </x:c>
      <x:c r="J18" s="184" t="str">
        <x:v>Indtægtslister_2025</x:v>
      </x:c>
      <x:c r="K18" s="184" t="str">
        <x:v>G161</x:v>
      </x:c>
      <x:c r="L18" s="185" t="str">
        <x:v>https://skm.dk/media/nd0bwgno/indtaegtsliste-2025.xlsx</x:v>
      </x:c>
    </x:row>
    <x:row r="19" ht="97.19999694824219" hidden="0" customHeight="1">
      <x:c r="A19" s="183" t="n">
        <x:v>2025</x:v>
      </x:c>
      <x:c r="B19" s="184" t="str">
        <x:v>Maj. 2025</x:v>
      </x:c>
      <x:c r="C19" s="184" t="n">
        <x:v>5</x:v>
      </x:c>
      <x:c r="D19" s="203" t="n">
        <x:v>240765.67134951206</x:v>
      </x:c>
      <x:c r="E19" s="205" t="n">
        <x:v>240765671.34951207</x:v>
      </x:c>
      <x:c r="F19" s="184" t="str">
        <x:v>official_booked_actual_combined_category</x:v>
      </x:c>
      <x:c r="G19" s="184" t="str">
        <x:v>nicotine_products_and_nicotine_liquids_combined</x:v>
      </x:c>
      <x:c r="H19" s="184" t="str">
        <x:v>cannot be separated into e-liquid and nicotine-product revenue from this public account</x:v>
      </x:c>
      <x:c r="I19" s="184" t="str">
        <x:v>skm_revenue_list_2025.xlsx</x:v>
      </x:c>
      <x:c r="J19" s="184" t="str">
        <x:v>Indtægtslister_2025</x:v>
      </x:c>
      <x:c r="K19" s="184" t="str">
        <x:v>H161</x:v>
      </x:c>
      <x:c r="L19" s="185" t="str">
        <x:v>https://skm.dk/media/nd0bwgno/indtaegtsliste-2025.xlsx</x:v>
      </x:c>
    </x:row>
    <x:row r="20" ht="97.19999694824219" hidden="0" customHeight="1">
      <x:c r="A20" s="183" t="n">
        <x:v>2025</x:v>
      </x:c>
      <x:c r="B20" s="184" t="str">
        <x:v>Jun. 2025</x:v>
      </x:c>
      <x:c r="C20" s="184" t="n">
        <x:v>6</x:v>
      </x:c>
      <x:c r="D20" s="203" t="n">
        <x:v>79003.65203365478</x:v>
      </x:c>
      <x:c r="E20" s="205" t="n">
        <x:v>79003652.03365478</x:v>
      </x:c>
      <x:c r="F20" s="184" t="str">
        <x:v>official_booked_actual_combined_category</x:v>
      </x:c>
      <x:c r="G20" s="184" t="str">
        <x:v>nicotine_products_and_nicotine_liquids_combined</x:v>
      </x:c>
      <x:c r="H20" s="184" t="str">
        <x:v>cannot be separated into e-liquid and nicotine-product revenue from this public account</x:v>
      </x:c>
      <x:c r="I20" s="184" t="str">
        <x:v>skm_revenue_list_2025.xlsx</x:v>
      </x:c>
      <x:c r="J20" s="184" t="str">
        <x:v>Indtægtslister_2025</x:v>
      </x:c>
      <x:c r="K20" s="184" t="str">
        <x:v>I161</x:v>
      </x:c>
      <x:c r="L20" s="185" t="str">
        <x:v>https://skm.dk/media/nd0bwgno/indtaegtsliste-2025.xlsx</x:v>
      </x:c>
    </x:row>
    <x:row r="21" ht="97.19999694824219" hidden="0" customHeight="1">
      <x:c r="A21" s="183" t="n">
        <x:v>2025</x:v>
      </x:c>
      <x:c r="B21" s="184" t="str">
        <x:v>Jul. 2025</x:v>
      </x:c>
      <x:c r="C21" s="184" t="n">
        <x:v>7</x:v>
      </x:c>
      <x:c r="D21" s="203" t="n">
        <x:v>8258.180553713539</x:v>
      </x:c>
      <x:c r="E21" s="205" t="n">
        <x:v>8258180.553713539</x:v>
      </x:c>
      <x:c r="F21" s="184" t="str">
        <x:v>official_booked_actual_combined_category</x:v>
      </x:c>
      <x:c r="G21" s="184" t="str">
        <x:v>nicotine_products_and_nicotine_liquids_combined</x:v>
      </x:c>
      <x:c r="H21" s="184" t="str">
        <x:v>cannot be separated into e-liquid and nicotine-product revenue from this public account</x:v>
      </x:c>
      <x:c r="I21" s="184" t="str">
        <x:v>skm_revenue_list_2025.xlsx</x:v>
      </x:c>
      <x:c r="J21" s="184" t="str">
        <x:v>Indtægtslister_2025</x:v>
      </x:c>
      <x:c r="K21" s="184" t="str">
        <x:v>J161</x:v>
      </x:c>
      <x:c r="L21" s="185" t="str">
        <x:v>https://skm.dk/media/nd0bwgno/indtaegtsliste-2025.xlsx</x:v>
      </x:c>
    </x:row>
    <x:row r="22" ht="97.19999694824219" hidden="0" customHeight="1">
      <x:c r="A22" s="183" t="n">
        <x:v>2025</x:v>
      </x:c>
      <x:c r="B22" s="184" t="str">
        <x:v>Aug. 2025</x:v>
      </x:c>
      <x:c r="C22" s="184" t="n">
        <x:v>8</x:v>
      </x:c>
      <x:c r="D22" s="203" t="n">
        <x:v>9118.231221315134</x:v>
      </x:c>
      <x:c r="E22" s="205" t="n">
        <x:v>9118231.221315134</x:v>
      </x:c>
      <x:c r="F22" s="184" t="str">
        <x:v>official_booked_actual_combined_category</x:v>
      </x:c>
      <x:c r="G22" s="184" t="str">
        <x:v>nicotine_products_and_nicotine_liquids_combined</x:v>
      </x:c>
      <x:c r="H22" s="184" t="str">
        <x:v>cannot be separated into e-liquid and nicotine-product revenue from this public account</x:v>
      </x:c>
      <x:c r="I22" s="184" t="str">
        <x:v>skm_revenue_list_2025.xlsx</x:v>
      </x:c>
      <x:c r="J22" s="184" t="str">
        <x:v>Indtægtslister_2025</x:v>
      </x:c>
      <x:c r="K22" s="184" t="str">
        <x:v>K161</x:v>
      </x:c>
      <x:c r="L22" s="185" t="str">
        <x:v>https://skm.dk/media/nd0bwgno/indtaegtsliste-2025.xlsx</x:v>
      </x:c>
    </x:row>
    <x:row r="23" ht="97.19999694824219" hidden="0" customHeight="1">
      <x:c r="A23" s="183" t="n">
        <x:v>2025</x:v>
      </x:c>
      <x:c r="B23" s="184" t="str">
        <x:v>Sep. 2025</x:v>
      </x:c>
      <x:c r="C23" s="184" t="n">
        <x:v>9</x:v>
      </x:c>
      <x:c r="D23" s="203" t="n">
        <x:v>40188.48940830994</x:v>
      </x:c>
      <x:c r="E23" s="205" t="n">
        <x:v>40188489.408309944</x:v>
      </x:c>
      <x:c r="F23" s="184" t="str">
        <x:v>official_booked_actual_combined_category</x:v>
      </x:c>
      <x:c r="G23" s="184" t="str">
        <x:v>nicotine_products_and_nicotine_liquids_combined</x:v>
      </x:c>
      <x:c r="H23" s="184" t="str">
        <x:v>cannot be separated into e-liquid and nicotine-product revenue from this public account</x:v>
      </x:c>
      <x:c r="I23" s="184" t="str">
        <x:v>skm_revenue_list_2025.xlsx</x:v>
      </x:c>
      <x:c r="J23" s="184" t="str">
        <x:v>Indtægtslister_2025</x:v>
      </x:c>
      <x:c r="K23" s="184" t="str">
        <x:v>L161</x:v>
      </x:c>
      <x:c r="L23" s="185" t="str">
        <x:v>https://skm.dk/media/nd0bwgno/indtaegtsliste-2025.xlsx</x:v>
      </x:c>
    </x:row>
    <x:row r="24" ht="97.19999694824219" hidden="0" customHeight="1">
      <x:c r="A24" s="183" t="n">
        <x:v>2025</x:v>
      </x:c>
      <x:c r="B24" s="184" t="str">
        <x:v>Okt. 2025</x:v>
      </x:c>
      <x:c r="C24" s="184" t="n">
        <x:v>10</x:v>
      </x:c>
      <x:c r="D24" s="203" t="n">
        <x:v>10191.272869496013</x:v>
      </x:c>
      <x:c r="E24" s="205" t="n">
        <x:v>10191272.869496014</x:v>
      </x:c>
      <x:c r="F24" s="184" t="str">
        <x:v>official_booked_actual_combined_category</x:v>
      </x:c>
      <x:c r="G24" s="184" t="str">
        <x:v>nicotine_products_and_nicotine_liquids_combined</x:v>
      </x:c>
      <x:c r="H24" s="184" t="str">
        <x:v>cannot be separated into e-liquid and nicotine-product revenue from this public account</x:v>
      </x:c>
      <x:c r="I24" s="184" t="str">
        <x:v>skm_revenue_list_2025.xlsx</x:v>
      </x:c>
      <x:c r="J24" s="184" t="str">
        <x:v>Indtægtslister_2025</x:v>
      </x:c>
      <x:c r="K24" s="184" t="str">
        <x:v>M161</x:v>
      </x:c>
      <x:c r="L24" s="185" t="str">
        <x:v>https://skm.dk/media/nd0bwgno/indtaegtsliste-2025.xlsx</x:v>
      </x:c>
    </x:row>
    <x:row r="25" ht="97.19999694824219" hidden="0" customHeight="1">
      <x:c r="A25" s="183" t="n">
        <x:v>2025</x:v>
      </x:c>
      <x:c r="B25" s="184" t="str">
        <x:v>Nov. 2025</x:v>
      </x:c>
      <x:c r="C25" s="184" t="n">
        <x:v>11</x:v>
      </x:c>
      <x:c r="D25" s="203" t="n">
        <x:v>26044.247409568976</x:v>
      </x:c>
      <x:c r="E25" s="205" t="n">
        <x:v>26044247.409568977</x:v>
      </x:c>
      <x:c r="F25" s="184" t="str">
        <x:v>official_booked_actual_combined_category</x:v>
      </x:c>
      <x:c r="G25" s="184" t="str">
        <x:v>nicotine_products_and_nicotine_liquids_combined</x:v>
      </x:c>
      <x:c r="H25" s="184" t="str">
        <x:v>cannot be separated into e-liquid and nicotine-product revenue from this public account</x:v>
      </x:c>
      <x:c r="I25" s="184" t="str">
        <x:v>skm_revenue_list_2025.xlsx</x:v>
      </x:c>
      <x:c r="J25" s="184" t="str">
        <x:v>Indtægtslister_2025</x:v>
      </x:c>
      <x:c r="K25" s="184" t="str">
        <x:v>N161</x:v>
      </x:c>
      <x:c r="L25" s="185" t="str">
        <x:v>https://skm.dk/media/nd0bwgno/indtaegtsliste-2025.xlsx</x:v>
      </x:c>
    </x:row>
    <x:row r="26" ht="97.19999694824219" hidden="0" customHeight="1">
      <x:c r="A26" s="183" t="n">
        <x:v>2025</x:v>
      </x:c>
      <x:c r="B26" s="184" t="str">
        <x:v>Dec. 2025</x:v>
      </x:c>
      <x:c r="C26" s="184" t="n">
        <x:v>12</x:v>
      </x:c>
      <x:c r="D26" s="203" t="n">
        <x:v>14346.85404681013</x:v>
      </x:c>
      <x:c r="E26" s="205" t="n">
        <x:v>14346854.04681013</x:v>
      </x:c>
      <x:c r="F26" s="184" t="str">
        <x:v>official_booked_actual_combined_category</x:v>
      </x:c>
      <x:c r="G26" s="184" t="str">
        <x:v>nicotine_products_and_nicotine_liquids_combined</x:v>
      </x:c>
      <x:c r="H26" s="184" t="str">
        <x:v>cannot be separated into e-liquid and nicotine-product revenue from this public account</x:v>
      </x:c>
      <x:c r="I26" s="184" t="str">
        <x:v>skm_revenue_list_2025.xlsx</x:v>
      </x:c>
      <x:c r="J26" s="184" t="str">
        <x:v>Indtægtslister_2025</x:v>
      </x:c>
      <x:c r="K26" s="184" t="str">
        <x:v>O161</x:v>
      </x:c>
      <x:c r="L26" s="185" t="str">
        <x:v>https://skm.dk/media/nd0bwgno/indtaegtsliste-2025.xlsx</x:v>
      </x:c>
    </x:row>
    <x:row r="27" ht="97.19999694824219" hidden="0" customHeight="1">
      <x:c r="A27" s="186" t="n">
        <x:v>2025</x:v>
      </x:c>
      <x:c r="B27" s="187" t="str">
        <x:v>FY</x:v>
      </x:c>
      <x:c r="C27" s="187" t="n">
        <x:v>13</x:v>
      </x:c>
      <x:c r="D27" s="204" t="n">
        <x:v>789133.2625257559</x:v>
      </x:c>
      <x:c r="E27" s="196" t="n">
        <x:v>789133262.5257559</x:v>
      </x:c>
      <x:c r="F27" s="187" t="str">
        <x:v>official_booked_actual_combined_category</x:v>
      </x:c>
      <x:c r="G27" s="187" t="str">
        <x:v>nicotine_products_and_nicotine_liquids_combined</x:v>
      </x:c>
      <x:c r="H27" s="187" t="str">
        <x:v>cannot be separated into e-liquid and nicotine-product revenue from this public account</x:v>
      </x:c>
      <x:c r="I27" s="187" t="str">
        <x:v>skm_revenue_list_2025.xlsx</x:v>
      </x:c>
      <x:c r="J27" s="187" t="str">
        <x:v>Indtægtslister_2025</x:v>
      </x:c>
      <x:c r="K27" s="187" t="str">
        <x:v>P161</x:v>
      </x:c>
      <x:c r="L27" s="188" t="str">
        <x:v>https://skm.dk/media/nd0bwgno/indtaegtsliste-2025.xlsx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54" hidden="0" customWidth="1"/>
    <x:col min="12" max="12" width="54" hidden="0" customWidth="1"/>
    <x:col min="13" max="13" width="54" hidden="0" customWidth="1"/>
  </x:cols>
  <x:sheetData>
    <x:row r="1" ht="52.79999923706055" hidden="0" customHeight="1">
      <x:c r="A1" s="158" t="str">
        <x:v>forecast_year</x:v>
      </x:c>
      <x:c r="B1" s="159" t="str">
        <x:v>rate_case</x:v>
      </x:c>
      <x:c r="C1" s="159" t="str">
        <x:v>rate_dkk_per_ml</x:v>
      </x:c>
      <x:c r="D1" s="159" t="str">
        <x:v>official_displayed_forecast_dkk</x:v>
      </x:c>
      <x:c r="E1" s="159" t="str">
        <x:v>forecast_display_granularity_dkk</x:v>
      </x:c>
      <x:c r="F1" s="159" t="str">
        <x:v>rounding_revenue_low_dkk</x:v>
      </x:c>
      <x:c r="G1" s="159" t="str">
        <x:v>rounding_revenue_high_dkk</x:v>
      </x:c>
      <x:c r="H1" s="159" t="str">
        <x:v>implied_volume_low_litres</x:v>
      </x:c>
      <x:c r="I1" s="159" t="str">
        <x:v>implied_volume_point_litres</x:v>
      </x:c>
      <x:c r="J1" s="159" t="str">
        <x:v>implied_volume_high_litres</x:v>
      </x:c>
      <x:c r="K1" s="159" t="str">
        <x:v>status</x:v>
      </x:c>
      <x:c r="L1" s="159" t="str">
        <x:v>boundary</x:v>
      </x:c>
      <x:c r="M1" s="160" t="str">
        <x:v>source_url</x:v>
      </x:c>
    </x:row>
    <x:row r="2" ht="86.4000015258789" hidden="0" customHeight="1">
      <x:c r="A2" s="180" t="n">
        <x:v>2025</x:v>
      </x:c>
      <x:c r="B2" s="181" t="str">
        <x:v>all_volume_above_12mg_ml</x:v>
      </x:c>
      <x:c r="C2" s="189" t="n">
        <x:v>2.5</x:v>
      </x:c>
      <x:c r="D2" s="206" t="n">
        <x:v>90000000</x:v>
      </x:c>
      <x:c r="E2" s="206" t="n">
        <x:v>5000000</x:v>
      </x:c>
      <x:c r="F2" s="206" t="n">
        <x:v>87500000</x:v>
      </x:c>
      <x:c r="G2" s="206" t="n">
        <x:v>92500000</x:v>
      </x:c>
      <x:c r="H2" s="208" t="n">
        <x:v>35000</x:v>
      </x:c>
      <x:c r="I2" s="208" t="n">
        <x:v>36000</x:v>
      </x:c>
      <x:c r="J2" s="208" t="n">
        <x:v>37000</x:v>
      </x:c>
      <x:c r="K2" s="181" t="str">
        <x:v>derived_from_official_forecast_not_actual_volume</x:v>
      </x:c>
      <x:c r="L2" s="181" t="str">
        <x:v>unknown strength mix; endpoints are rate and display-rounding cases, not observed litres</x:v>
      </x:c>
      <x:c r="M2" s="182" t="str">
        <x:v>https://www.ft.dk/samling/20231/almdel/sau/spm/678/svar/2074316/2914215.pdf</x:v>
      </x:c>
    </x:row>
    <x:row r="3" ht="86.4000015258789" hidden="0" customHeight="1">
      <x:c r="A3" s="186" t="n">
        <x:v>2025</x:v>
      </x:c>
      <x:c r="B3" s="187" t="str">
        <x:v>all_volume_up_to_12mg_ml</x:v>
      </x:c>
      <x:c r="C3" s="191" t="n">
        <x:v>1.5</x:v>
      </x:c>
      <x:c r="D3" s="207" t="n">
        <x:v>90000000</x:v>
      </x:c>
      <x:c r="E3" s="207" t="n">
        <x:v>5000000</x:v>
      </x:c>
      <x:c r="F3" s="207" t="n">
        <x:v>87500000</x:v>
      </x:c>
      <x:c r="G3" s="207" t="n">
        <x:v>92500000</x:v>
      </x:c>
      <x:c r="H3" s="209" t="n">
        <x:v>58333.333333333336</x:v>
      </x:c>
      <x:c r="I3" s="209" t="n">
        <x:v>60000</x:v>
      </x:c>
      <x:c r="J3" s="209" t="n">
        <x:v>61666.666666666664</x:v>
      </x:c>
      <x:c r="K3" s="187" t="str">
        <x:v>derived_from_official_forecast_not_actual_volume</x:v>
      </x:c>
      <x:c r="L3" s="187" t="str">
        <x:v>unknown strength mix; endpoints are rate and display-rounding cases, not observed litres</x:v>
      </x:c>
      <x:c r="M3" s="188" t="str">
        <x:v>https://www.ft.dk/samling/20231/almdel/sau/spm/678/svar/2074316/2914215.pdf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52" hidden="0" customWidth="1"/>
    <x:col min="7" max="7" width="52" hidden="0" customWidth="1"/>
    <x:col min="8" max="8" width="52" hidden="0" customWidth="1"/>
    <x:col min="9" max="9" width="52" hidden="0" customWidth="1"/>
  </x:cols>
  <x:sheetData>
    <x:row r="1" ht="39.599998474121094" hidden="0" customHeight="1">
      <x:c r="A1" s="158" t="str">
        <x:v>format</x:v>
      </x:c>
      <x:c r="B1" s="159" t="str">
        <x:v>package_ml</x:v>
      </x:c>
      <x:c r="C1" s="159" t="str">
        <x:v>price_dkk</x:v>
      </x:c>
      <x:c r="D1" s="159" t="str">
        <x:v>price_dkk_per_ml</x:v>
      </x:c>
      <x:c r="E1" s="159" t="str">
        <x:v>specific_excise_share_pct</x:v>
      </x:c>
      <x:c r="F1" s="159" t="str">
        <x:v>observation</x:v>
      </x:c>
      <x:c r="G1" s="159" t="str">
        <x:v>source_tier</x:v>
      </x:c>
      <x:c r="H1" s="159" t="str">
        <x:v>source_page</x:v>
      </x:c>
      <x:c r="I1" s="160" t="str">
        <x:v>source_url</x:v>
      </x:c>
    </x:row>
    <x:row r="2" ht="86.4000015258789" hidden="0" customHeight="1">
      <x:c r="A2" s="180" t="str">
        <x:v>closed_system_e_liquid</x:v>
      </x:c>
      <x:c r="B2" s="210" t="n">
        <x:v>1</x:v>
      </x:c>
      <x:c r="C2" s="213" t="n">
        <x:v>16.25</x:v>
      </x:c>
      <x:c r="D2" s="189" t="n">
        <x:v>16.25</x:v>
      </x:c>
      <x:c r="E2" s="216" t="n">
        <x:v>0.09230000000000001</x:v>
      </x:c>
      <x:c r="F2" s="181" t="str">
        <x:v>WHO cheapest-brand price snapshot; not sales-weighted</x:v>
      </x:c>
      <x:c r="G2" s="181" t="str">
        <x:v>B</x:v>
      </x:c>
      <x:c r="H2" s="181" t="n">
        <x:v>9</x:v>
      </x:c>
      <x:c r="I2" s="182" t="str">
        <x:v>https://cdn.who.int/media/docs/default-source/country-profiles/tobacco/gtrc-2025/tobacco-2025-dnk.pdf</x:v>
      </x:c>
    </x:row>
    <x:row r="3" ht="86.4000015258789" hidden="0" customHeight="1">
      <x:c r="A3" s="183" t="str">
        <x:v>closed_system_disposable</x:v>
      </x:c>
      <x:c r="B3" s="211" t="n">
        <x:v>1</x:v>
      </x:c>
      <x:c r="C3" s="214" t="n">
        <x:v>27.5</x:v>
      </x:c>
      <x:c r="D3" s="190" t="n">
        <x:v>27.5</x:v>
      </x:c>
      <x:c r="E3" s="217" t="n">
        <x:v>0.0909</x:v>
      </x:c>
      <x:c r="F3" s="184" t="str">
        <x:v>WHO cheapest-brand price snapshot; not sales-weighted</x:v>
      </x:c>
      <x:c r="G3" s="184" t="str">
        <x:v>B</x:v>
      </x:c>
      <x:c r="H3" s="184" t="n">
        <x:v>9</x:v>
      </x:c>
      <x:c r="I3" s="185" t="str">
        <x:v>https://cdn.who.int/media/docs/default-source/country-profiles/tobacco/gtrc-2025/tobacco-2025-dnk.pdf</x:v>
      </x:c>
    </x:row>
    <x:row r="4" ht="97.19999694824219" hidden="0" customHeight="1">
      <x:c r="A4" s="186" t="str">
        <x:v>open_system_e_liquid</x:v>
      </x:c>
      <x:c r="B4" s="212" t="n">
        <x:v>10</x:v>
      </x:c>
      <x:c r="C4" s="215" t="n">
        <x:v>52</x:v>
      </x:c>
      <x:c r="D4" s="191" t="n">
        <x:v>5.2</x:v>
      </x:c>
      <x:c r="E4" s="218" t="n">
        <x:v>0.28850000000000003</x:v>
      </x:c>
      <x:c r="F4" s="187" t="str">
        <x:v>WHO cheapest-brand 10ml price snapshot; used only as a transparent sensitivity anchor</x:v>
      </x:c>
      <x:c r="G4" s="187" t="str">
        <x:v>B</x:v>
      </x:c>
      <x:c r="H4" s="187" t="n">
        <x:v>9</x:v>
      </x:c>
      <x:c r="I4" s="188" t="str">
        <x:v>https://cdn.who.int/media/docs/default-source/country-profiles/tobacco/gtrc-2025/tobacco-2025-dnk.pdf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52" hidden="0" customWidth="1"/>
    <x:col min="10" max="10" width="52" hidden="0" customWidth="1"/>
    <x:col min="11" max="11" width="52" hidden="0" customWidth="1"/>
    <x:col min="12" max="12" width="52" hidden="0" customWidth="1"/>
  </x:cols>
  <x:sheetData>
    <x:row r="1" ht="66" hidden="0" customHeight="1">
      <x:c r="A1" s="158" t="str">
        <x:v>scenario</x:v>
      </x:c>
      <x:c r="B1" s="159" t="str">
        <x:v>forecast_revenue_anchor_dkk</x:v>
      </x:c>
      <x:c r="C1" s="159" t="str">
        <x:v>effective_rate_dkk_per_ml</x:v>
      </x:c>
      <x:c r="D1" s="159" t="str">
        <x:v>implied_volume_litres</x:v>
      </x:c>
      <x:c r="E1" s="159" t="str">
        <x:v>price_factor</x:v>
      </x:c>
      <x:c r="F1" s="159" t="str">
        <x:v>price_dkk_per_10ml</x:v>
      </x:c>
      <x:c r="G1" s="159" t="str">
        <x:v>mechanical_gross_retail_value_dkk</x:v>
      </x:c>
      <x:c r="H1" s="159" t="str">
        <x:v>forecast_tax_share_of_mechanical_value_pct</x:v>
      </x:c>
      <x:c r="I1" s="159" t="str">
        <x:v>mix_and_rounding_assumption</x:v>
      </x:c>
      <x:c r="J1" s="159" t="str">
        <x:v>source_tier</x:v>
      </x:c>
      <x:c r="K1" s="159" t="str">
        <x:v>boundary</x:v>
      </x:c>
      <x:c r="L1" s="160" t="str">
        <x:v>source_url</x:v>
      </x:c>
    </x:row>
    <x:row r="2" ht="86.4000015258789" hidden="0" customHeight="1">
      <x:c r="A2" s="180" t="str">
        <x:v>downside_high_rate_low_rounding_minus_20pct</x:v>
      </x:c>
      <x:c r="B2" s="206" t="n">
        <x:v>87500000</x:v>
      </x:c>
      <x:c r="C2" s="227" t="n">
        <x:v>2.5</x:v>
      </x:c>
      <x:c r="D2" s="233" t="n">
        <x:f>B2/C2/1000</x:f>
        <x:v>35000</x:v>
      </x:c>
      <x:c r="E2" s="230" t="n">
        <x:v>0.8</x:v>
      </x:c>
      <x:c r="F2" s="236" t="n">
        <x:f>'Price Inputs'!$C$4*E2</x:f>
        <x:v>41.6</x:v>
      </x:c>
      <x:c r="G2" s="237" t="n">
        <x:f>D2*1000/10*F2</x:f>
        <x:v>145600000</x:v>
      </x:c>
      <x:c r="H2" s="238" t="n">
        <x:f>B2/G2</x:f>
        <x:v>0.6009615384615384</x:v>
      </x:c>
      <x:c r="I2" s="181" t="str">
        <x:v>all forecast volume at high rate; lower rounding endpoint</x:v>
      </x:c>
      <x:c r="J2" s="181" t="str">
        <x:v>A forecast and rates plus B price</x:v>
      </x:c>
      <x:c r="K2" s="181" t="str">
        <x:v>forecast-conditioned sensitivity only; not official market size and not actual sales</x:v>
      </x:c>
      <x:c r="L2" s="182" t="str">
        <x:v>https://www.ft.dk/samling/20231/almdel/sau/spm/678/svar/2074316/2914215.pdf</x:v>
      </x:c>
    </x:row>
    <x:row r="3" ht="86.4000015258789" hidden="0" customHeight="1">
      <x:c r="A3" s="183" t="str">
        <x:v>central_equal_volume_mix_who_price</x:v>
      </x:c>
      <x:c r="B3" s="219" t="n">
        <x:v>90000000</x:v>
      </x:c>
      <x:c r="C3" s="228" t="n">
        <x:v>2</x:v>
      </x:c>
      <x:c r="D3" s="234" t="n">
        <x:f>B3/C3/1000</x:f>
        <x:v>45000</x:v>
      </x:c>
      <x:c r="E3" s="231" t="n">
        <x:v>1</x:v>
      </x:c>
      <x:c r="F3" s="239" t="n">
        <x:f>'Price Inputs'!$C$4*E3</x:f>
        <x:v>52</x:v>
      </x:c>
      <x:c r="G3" s="240" t="n">
        <x:f>D3*1000/10*F3</x:f>
        <x:v>234000000</x:v>
      </x:c>
      <x:c r="H3" s="241" t="n">
        <x:f>B3/G3</x:f>
        <x:v>0.38461538461538464</x:v>
      </x:c>
      <x:c r="I3" s="184" t="str">
        <x:v>50/50 volume mix assumption gives DKK 2.0/ml effective rate</x:v>
      </x:c>
      <x:c r="J3" s="184" t="str">
        <x:v>A forecast and rates plus B price</x:v>
      </x:c>
      <x:c r="K3" s="184" t="str">
        <x:v>forecast-conditioned sensitivity only; not official market size and not actual sales</x:v>
      </x:c>
      <x:c r="L3" s="185" t="str">
        <x:v>https://www.ft.dk/samling/20231/almdel/sau/spm/678/svar/2074316/2914215.pdf</x:v>
      </x:c>
    </x:row>
    <x:row r="4" ht="86.4000015258789" hidden="0" customHeight="1">
      <x:c r="A4" s="186" t="str">
        <x:v>upside_low_rate_high_rounding_plus_20pct</x:v>
      </x:c>
      <x:c r="B4" s="207" t="n">
        <x:v>92500000</x:v>
      </x:c>
      <x:c r="C4" s="229" t="n">
        <x:v>1.5</x:v>
      </x:c>
      <x:c r="D4" s="235" t="n">
        <x:f>B4/C4/1000</x:f>
        <x:v>61666.666666666664</x:v>
      </x:c>
      <x:c r="E4" s="232" t="n">
        <x:v>1.2</x:v>
      </x:c>
      <x:c r="F4" s="242" t="n">
        <x:f>'Price Inputs'!$C$4*E4</x:f>
        <x:v>62.4</x:v>
      </x:c>
      <x:c r="G4" s="243" t="n">
        <x:f>D4*1000/10*F4</x:f>
        <x:v>384799999.99999994</x:v>
      </x:c>
      <x:c r="H4" s="244" t="n">
        <x:f>B4/G4</x:f>
        <x:v>0.24038461538461542</x:v>
      </x:c>
      <x:c r="I4" s="187" t="str">
        <x:v>all forecast volume at low rate; upper rounding endpoint</x:v>
      </x:c>
      <x:c r="J4" s="187" t="str">
        <x:v>A forecast and rates plus B price</x:v>
      </x:c>
      <x:c r="K4" s="187" t="str">
        <x:v>forecast-conditioned sensitivity only; not official market size and not actual sales</x:v>
      </x:c>
      <x:c r="L4" s="188" t="str">
        <x:v>https://www.ft.dk/samling/20231/almdel/sau/spm/678/svar/2074316/2914215.pdf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6" hidden="0" customWidth="1"/>
    <x:col min="6" max="6" width="56" hidden="0" customWidth="1"/>
    <x:col min="7" max="7" width="56" hidden="0" customWidth="1"/>
  </x:cols>
  <x:sheetData>
    <x:row r="1" ht="39.599998474121094" hidden="0" customHeight="1">
      <x:c r="A1" s="158" t="str">
        <x:v>metric</x:v>
      </x:c>
      <x:c r="B1" s="159" t="str">
        <x:v>value_dkk</x:v>
      </x:c>
      <x:c r="C1" s="159" t="str">
        <x:v>comparison_value_dkk</x:v>
      </x:c>
      <x:c r="D1" s="159" t="str">
        <x:v>ratio_pct</x:v>
      </x:c>
      <x:c r="E1" s="159" t="str">
        <x:v>interpretation</x:v>
      </x:c>
      <x:c r="F1" s="159" t="str">
        <x:v>status</x:v>
      </x:c>
      <x:c r="G1" s="160" t="str">
        <x:v>source_url</x:v>
      </x:c>
    </x:row>
    <x:row r="2" ht="86.4000015258789" hidden="0" customHeight="1">
      <x:c r="A2" s="180" t="str">
        <x:v>official_2025_e_liquid_revenue_forecast</x:v>
      </x:c>
      <x:c r="B2" s="195" t="n">
        <x:v>90000000</x:v>
      </x:c>
      <x:c r="C2" s="195" t="n">
        <x:v>789133262.5257559</x:v>
      </x:c>
      <x:c r="D2" s="245" t="n">
        <x:f>B2/C2</x:f>
        <x:v>0.11404917809691562</x:v>
      </x:c>
      <x:c r="E2" s="181" t="str">
        <x:v>forecast is 11.4% of the later combined booked category; this is not an accuracy test</x:v>
      </x:c>
      <x:c r="F2" s="181" t="str">
        <x:v>scope_mismatch_do_not_validate_forecast</x:v>
      </x:c>
      <x:c r="G2" s="182" t="str">
        <x:v>https://www.ft.dk/samling/20231/almdel/sau/spm/678/svar/2074316/2914215.pdf</x:v>
      </x:c>
    </x:row>
    <x:row r="3" ht="97.19999694824219" hidden="0" customHeight="1">
      <x:c r="A3" s="186" t="str">
        <x:v>combined_actual_growth_2024_to_2025</x:v>
      </x:c>
      <x:c r="B3" s="196" t="n">
        <x:v>789133262.5257559</x:v>
      </x:c>
      <x:c r="C3" s="196" t="n">
        <x:v>548495746.0507325</x:v>
      </x:c>
      <x:c r="D3" s="201" t="n">
        <x:f>B3/C3-1</x:f>
        <x:v>0.4387226668714508</x:v>
      </x:c>
      <x:c r="E3" s="187" t="str">
        <x:v>combined nicotine-product and nicotine-liquid account grew 43.9%; e-liquid contribution is not public</x:v>
      </x:c>
      <x:c r="F3" s="187" t="str">
        <x:v>official_actual_combined_category</x:v>
      </x:c>
      <x:c r="G3" s="188" t="str">
        <x:v>https://skm.dk/media/nd0bwgno/indtaegtsliste-2025.xlsx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58" hidden="0" customWidth="1"/>
    <x:col min="11" max="11" width="58" hidden="0" customWidth="1"/>
  </x:cols>
  <x:sheetData>
    <x:row r="1" ht="39.599998474121094" hidden="0" customHeight="1">
      <x:c r="A1" s="158" t="str">
        <x:v>period</x:v>
      </x:c>
      <x:c r="B1" s="159" t="str">
        <x:v>evidence_type</x:v>
      </x:c>
      <x:c r="C1" s="159" t="str">
        <x:v>tobacco_controls</x:v>
      </x:c>
      <x:c r="D1" s="159" t="str">
        <x:v>nicotine_controls</x:v>
      </x:c>
      <x:c r="E1" s="159" t="str">
        <x:v>total_displayed_controls</x:v>
      </x:c>
      <x:c r="F1" s="159" t="str">
        <x:v>hit_rate_pct</x:v>
      </x:c>
      <x:c r="G1" s="159" t="str">
        <x:v>hit_rate_scope</x:v>
      </x:c>
      <x:c r="H1" s="159" t="str">
        <x:v>derived_metric</x:v>
      </x:c>
      <x:c r="I1" s="159" t="str">
        <x:v>derived_value</x:v>
      </x:c>
      <x:c r="J1" s="159" t="str">
        <x:v>boundary</x:v>
      </x:c>
      <x:c r="K1" s="160" t="str">
        <x:v>source_url</x:v>
      </x:c>
    </x:row>
    <x:row r="2" ht="97.19999694824219" hidden="0" customHeight="1">
      <x:c r="A2" s="180" t="n">
        <x:v>2020</x:v>
      </x:c>
      <x:c r="B2" s="181" t="str">
        <x:v>control_counts</x:v>
      </x:c>
      <x:c r="C2" s="246" t="n">
        <x:v>259</x:v>
      </x:c>
      <x:c r="D2" s="246" t="str"/>
      <x:c r="E2" s="246" t="n">
        <x:v>259</x:v>
      </x:c>
      <x:c r="F2" s="249" t="str"/>
      <x:c r="G2" s="181" t="str"/>
      <x:c r="H2" s="181" t="str"/>
      <x:c r="I2" s="199" t="str"/>
      <x:c r="J2" s="181" t="str">
        <x:v>risk-based inspections selected on materiality; hit rate is not national market non-compliance</x:v>
      </x:c>
      <x:c r="K2" s="182" t="str">
        <x:v>https://www.ft.dk/samling/20241/almdel/SAU/bilag/220/3018939.pdf</x:v>
      </x:c>
    </x:row>
    <x:row r="3" ht="97.19999694824219" hidden="0" customHeight="1">
      <x:c r="A3" s="183" t="n">
        <x:v>2021</x:v>
      </x:c>
      <x:c r="B3" s="184" t="str">
        <x:v>control_counts</x:v>
      </x:c>
      <x:c r="C3" s="247" t="n">
        <x:v>339</x:v>
      </x:c>
      <x:c r="D3" s="247" t="str"/>
      <x:c r="E3" s="247" t="n">
        <x:v>339</x:v>
      </x:c>
      <x:c r="F3" s="250" t="str"/>
      <x:c r="G3" s="184" t="str"/>
      <x:c r="H3" s="184" t="str"/>
      <x:c r="I3" s="252" t="str"/>
      <x:c r="J3" s="184" t="str">
        <x:v>risk-based inspections selected on materiality; hit rate is not national market non-compliance</x:v>
      </x:c>
      <x:c r="K3" s="185" t="str">
        <x:v>https://www.ft.dk/samling/20241/almdel/SAU/bilag/220/3018939.pdf</x:v>
      </x:c>
    </x:row>
    <x:row r="4" ht="97.19999694824219" hidden="0" customHeight="1">
      <x:c r="A4" s="183" t="n">
        <x:v>2022</x:v>
      </x:c>
      <x:c r="B4" s="184" t="str">
        <x:v>control_counts</x:v>
      </x:c>
      <x:c r="C4" s="247" t="n">
        <x:v>446</x:v>
      </x:c>
      <x:c r="D4" s="247" t="n">
        <x:v>29</x:v>
      </x:c>
      <x:c r="E4" s="247" t="n">
        <x:v>475</x:v>
      </x:c>
      <x:c r="F4" s="250" t="str"/>
      <x:c r="G4" s="184" t="str"/>
      <x:c r="H4" s="184" t="str"/>
      <x:c r="I4" s="252" t="str"/>
      <x:c r="J4" s="184" t="str">
        <x:v>risk-based inspections selected on materiality; hit rate is not national market non-compliance</x:v>
      </x:c>
      <x:c r="K4" s="185" t="str">
        <x:v>https://www.ft.dk/samling/20241/almdel/SAU/bilag/220/3018939.pdf</x:v>
      </x:c>
    </x:row>
    <x:row r="5" ht="97.19999694824219" hidden="0" customHeight="1">
      <x:c r="A5" s="183" t="n">
        <x:v>2023</x:v>
      </x:c>
      <x:c r="B5" s="184" t="str">
        <x:v>control_counts</x:v>
      </x:c>
      <x:c r="C5" s="247" t="n">
        <x:v>446</x:v>
      </x:c>
      <x:c r="D5" s="247" t="n">
        <x:v>564</x:v>
      </x:c>
      <x:c r="E5" s="247" t="n">
        <x:v>1010</x:v>
      </x:c>
      <x:c r="F5" s="250" t="str"/>
      <x:c r="G5" s="184" t="str"/>
      <x:c r="H5" s="184" t="str"/>
      <x:c r="I5" s="252" t="str"/>
      <x:c r="J5" s="184" t="str">
        <x:v>risk-based inspections selected on materiality; hit rate is not national market non-compliance</x:v>
      </x:c>
      <x:c r="K5" s="185" t="str">
        <x:v>https://www.ft.dk/samling/20241/almdel/SAU/bilag/220/3018939.pdf</x:v>
      </x:c>
    </x:row>
    <x:row r="6" ht="97.19999694824219" hidden="0" customHeight="1">
      <x:c r="A6" s="183" t="n">
        <x:v>2024</x:v>
      </x:c>
      <x:c r="B6" s="184" t="str">
        <x:v>control_counts</x:v>
      </x:c>
      <x:c r="C6" s="247" t="n">
        <x:v>314</x:v>
      </x:c>
      <x:c r="D6" s="247" t="n">
        <x:v>929</x:v>
      </x:c>
      <x:c r="E6" s="247" t="n">
        <x:v>1243</x:v>
      </x:c>
      <x:c r="F6" s="250" t="n">
        <x:v>0.7</x:v>
      </x:c>
      <x:c r="G6" s="184" t="str">
        <x:v>2020-2024 average across risk-selected tobacco and nicotine controls</x:v>
      </x:c>
      <x:c r="H6" s="184" t="str">
        <x:v>nicotine share of 2024 displayed controls</x:v>
      </x:c>
      <x:c r="I6" s="253" t="n">
        <x:f>D6/E6</x:f>
        <x:v>0.7473853580048271</x:v>
      </x:c>
      <x:c r="J6" s="184" t="str">
        <x:v>risk-based inspections selected on materiality; hit rate is not national market non-compliance</x:v>
      </x:c>
      <x:c r="K6" s="185" t="str">
        <x:v>https://www.ft.dk/samling/20241/almdel/SAU/bilag/220/3018939.pdf</x:v>
      </x:c>
    </x:row>
    <x:row r="7" ht="140.39999389648438" hidden="0" customHeight="1">
      <x:c r="A7" s="186" t="n">
        <x:v>2025</x:v>
      </x:c>
      <x:c r="B7" s="187" t="str">
        <x:v>single_enforcement_case</x:v>
      </x:c>
      <x:c r="C7" s="248" t="str"/>
      <x:c r="D7" s="248" t="str"/>
      <x:c r="E7" s="248" t="str"/>
      <x:c r="F7" s="251" t="str"/>
      <x:c r="G7" s="187" t="str"/>
      <x:c r="H7" s="187" t="str">
        <x:v>approximate unpaid excise per seized disposable</x:v>
      </x:c>
      <x:c r="I7" s="200" t="n">
        <x:v>0.625</x:v>
      </x:c>
      <x:c r="J7" s="187" t="str">
        <x:v>around 40,000 disposables and around DKK 2.5m unpaid duty; not market share or retail price</x:v>
      </x:c>
      <x:c r="K7" s="188" t="str">
        <x:v>https://skm.dk/aktuelt/presse-nyheder/pressemeddelelser/stoklund-efter-fund-af-40000-ulovlige-puff-bars-det-er-organiseret-svindel-og-en-haan-mod-faellesskabet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52" hidden="0" customWidth="1"/>
    <x:col min="10" max="10" width="52" hidden="0" customWidth="1"/>
  </x:cols>
  <x:sheetData>
    <x:row r="1" ht="52.79999923706055" hidden="0" customHeight="1">
      <x:c r="A1" s="158" t="str">
        <x:v>snapshot_date</x:v>
      </x:c>
      <x:c r="B1" s="159" t="str">
        <x:v>product_type</x:v>
      </x:c>
      <x:c r="C1" s="159" t="str">
        <x:v>registry_rows</x:v>
      </x:c>
      <x:c r="D1" s="159" t="str">
        <x:v>unique_product_ids_within_type</x:v>
      </x:c>
      <x:c r="E1" s="159" t="str">
        <x:v>share_of_registry_rows_pct</x:v>
      </x:c>
      <x:c r="F1" s="159" t="str">
        <x:v>total_registry_rows</x:v>
      </x:c>
      <x:c r="G1" s="159" t="str">
        <x:v>total_unique_product_ids</x:v>
      </x:c>
      <x:c r="H1" s="159" t="str">
        <x:v>total_reporting_entities</x:v>
      </x:c>
      <x:c r="I1" s="159" t="str">
        <x:v>status</x:v>
      </x:c>
      <x:c r="J1" s="160" t="str">
        <x:v>source_url</x:v>
      </x:c>
    </x:row>
    <x:row r="2" ht="54" hidden="0" customHeight="1">
      <x:c r="A2" s="180" t="str">
        <x:v>2026-07-17</x:v>
      </x:c>
      <x:c r="B2" s="181" t="str">
        <x:v>Refill container/cartridge containing e-liquid.</x:v>
      </x:c>
      <x:c r="C2" s="181" t="n">
        <x:v>416</x:v>
      </x:c>
      <x:c r="D2" s="181" t="n">
        <x:v>131</x:v>
      </x:c>
      <x:c r="E2" s="199" t="n">
        <x:v>0.34724541000000003</x:v>
      </x:c>
      <x:c r="F2" s="181" t="n">
        <x:v>1198</x:v>
      </x:c>
      <x:c r="G2" s="181" t="n">
        <x:v>545</x:v>
      </x:c>
      <x:c r="H2" s="181" t="n">
        <x:v>18</x:v>
      </x:c>
      <x:c r="I2" s="181" t="str">
        <x:v>official_live_registry_snapshot_not_sales</x:v>
      </x:c>
      <x:c r="J2" s="182" t="str">
        <x:v>https://www.sik.dk/registre/file/register_over_e_cigaretter_new</x:v>
      </x:c>
    </x:row>
    <x:row r="3" ht="54" hidden="0" customHeight="1">
      <x:c r="A3" s="183" t="str">
        <x:v>2026-07-17</x:v>
      </x:c>
      <x:c r="B3" s="184" t="str">
        <x:v>Other</x:v>
      </x:c>
      <x:c r="C3" s="184" t="n">
        <x:v>387</x:v>
      </x:c>
      <x:c r="D3" s="184" t="n">
        <x:v>191</x:v>
      </x:c>
      <x:c r="E3" s="252" t="n">
        <x:v>0.3230384</x:v>
      </x:c>
      <x:c r="F3" s="184" t="n">
        <x:v>1198</x:v>
      </x:c>
      <x:c r="G3" s="184" t="n">
        <x:v>545</x:v>
      </x:c>
      <x:c r="H3" s="184" t="n">
        <x:v>18</x:v>
      </x:c>
      <x:c r="I3" s="184" t="str">
        <x:v>official_live_registry_snapshot_not_sales</x:v>
      </x:c>
      <x:c r="J3" s="185" t="str">
        <x:v>https://www.sik.dk/registre/file/register_over_e_cigaretter_new</x:v>
      </x:c>
    </x:row>
    <x:row r="4" ht="118.80000305175781" hidden="0" customHeight="1">
      <x:c r="A4" s="183" t="str">
        <x:v>2026-07-17</x:v>
      </x:c>
      <x:c r="B4" s="184" t="str">
        <x:v>Kit – Pack containing more than one different e-cigarette device and/or more than one different refill container/cartridge.</x:v>
      </x:c>
      <x:c r="C4" s="184" t="n">
        <x:v>127</x:v>
      </x:c>
      <x:c r="D4" s="184" t="n">
        <x:v>42</x:v>
      </x:c>
      <x:c r="E4" s="252" t="n">
        <x:v>0.10601002</x:v>
      </x:c>
      <x:c r="F4" s="184" t="n">
        <x:v>1198</x:v>
      </x:c>
      <x:c r="G4" s="184" t="n">
        <x:v>545</x:v>
      </x:c>
      <x:c r="H4" s="184" t="n">
        <x:v>18</x:v>
      </x:c>
      <x:c r="I4" s="184" t="str">
        <x:v>official_live_registry_snapshot_not_sales</x:v>
      </x:c>
      <x:c r="J4" s="185" t="str">
        <x:v>https://www.sik.dk/registre/file/register_over_e_cigaretter_new</x:v>
      </x:c>
    </x:row>
    <x:row r="5" ht="75.5999984741211" hidden="0" customHeight="1">
      <x:c r="A5" s="183" t="str">
        <x:v>2026-07-17</x:v>
      </x:c>
      <x:c r="B5" s="184" t="str">
        <x:v>Individual part of electronic cigarette capable of containing e-liquid.</x:v>
      </x:c>
      <x:c r="C5" s="184" t="n">
        <x:v>103</x:v>
      </x:c>
      <x:c r="D5" s="184" t="n">
        <x:v>72</x:v>
      </x:c>
      <x:c r="E5" s="252" t="n">
        <x:v>0.08597663000000001</x:v>
      </x:c>
      <x:c r="F5" s="184" t="n">
        <x:v>1198</x:v>
      </x:c>
      <x:c r="G5" s="184" t="n">
        <x:v>545</x:v>
      </x:c>
      <x:c r="H5" s="184" t="n">
        <x:v>18</x:v>
      </x:c>
      <x:c r="I5" s="184" t="str">
        <x:v>official_live_registry_snapshot_not_sales</x:v>
      </x:c>
      <x:c r="J5" s="185" t="str">
        <x:v>https://www.sik.dk/registre/file/register_over_e_cigaretter_new</x:v>
      </x:c>
    </x:row>
    <x:row r="6" ht="54" hidden="0" customHeight="1">
      <x:c r="A6" s="183" t="str">
        <x:v>2026-07-17</x:v>
      </x:c>
      <x:c r="B6" s="184" t="str">
        <x:v>Electronic cigarette – Disposable.</x:v>
      </x:c>
      <x:c r="C6" s="184" t="n">
        <x:v>77</x:v>
      </x:c>
      <x:c r="D6" s="184" t="n">
        <x:v>59</x:v>
      </x:c>
      <x:c r="E6" s="252" t="n">
        <x:v>0.06427379</x:v>
      </x:c>
      <x:c r="F6" s="184" t="n">
        <x:v>1198</x:v>
      </x:c>
      <x:c r="G6" s="184" t="n">
        <x:v>545</x:v>
      </x:c>
      <x:c r="H6" s="184" t="n">
        <x:v>18</x:v>
      </x:c>
      <x:c r="I6" s="184" t="str">
        <x:v>official_live_registry_snapshot_not_sales</x:v>
      </x:c>
      <x:c r="J6" s="185" t="str">
        <x:v>https://www.sik.dk/registre/file/register_over_e_cigaretter_new</x:v>
      </x:c>
    </x:row>
    <x:row r="7" ht="54" hidden="0" customHeight="1">
      <x:c r="A7" s="183" t="str">
        <x:v>2026-07-17</x:v>
      </x:c>
      <x:c r="B7" s="184" t="str">
        <x:v>Electronic cigarette – Refillable, device only.</x:v>
      </x:c>
      <x:c r="C7" s="184" t="n">
        <x:v>73</x:v>
      </x:c>
      <x:c r="D7" s="184" t="n">
        <x:v>35</x:v>
      </x:c>
      <x:c r="E7" s="252" t="n">
        <x:v>0.06093489</x:v>
      </x:c>
      <x:c r="F7" s="184" t="n">
        <x:v>1198</x:v>
      </x:c>
      <x:c r="G7" s="184" t="n">
        <x:v>545</x:v>
      </x:c>
      <x:c r="H7" s="184" t="n">
        <x:v>18</x:v>
      </x:c>
      <x:c r="I7" s="184" t="str">
        <x:v>official_live_registry_snapshot_not_sales</x:v>
      </x:c>
      <x:c r="J7" s="185" t="str">
        <x:v>https://www.sik.dk/registre/file/register_over_e_cigaretter_new</x:v>
      </x:c>
    </x:row>
    <x:row r="8" ht="151.1999969482422" hidden="0" customHeight="1">
      <x:c r="A8" s="183" t="str">
        <x:v>2026-07-17</x:v>
      </x:c>
      <x:c r="B8" s="184" t="str">
        <x:v>Electronic cigarette – Rechargeable, device only Any rechargeable which can also be used as a refillable should be reported under the refillable category.</x:v>
      </x:c>
      <x:c r="C8" s="184" t="n">
        <x:v>11</x:v>
      </x:c>
      <x:c r="D8" s="184" t="n">
        <x:v>11</x:v>
      </x:c>
      <x:c r="E8" s="252" t="n">
        <x:v>0.009181970000000001</x:v>
      </x:c>
      <x:c r="F8" s="184" t="n">
        <x:v>1198</x:v>
      </x:c>
      <x:c r="G8" s="184" t="n">
        <x:v>545</x:v>
      </x:c>
      <x:c r="H8" s="184" t="n">
        <x:v>18</x:v>
      </x:c>
      <x:c r="I8" s="184" t="str">
        <x:v>official_live_registry_snapshot_not_sales</x:v>
      </x:c>
      <x:c r="J8" s="185" t="str">
        <x:v>https://www.sik.dk/registre/file/register_over_e_cigaretter_new</x:v>
      </x:c>
    </x:row>
    <x:row r="9" ht="205.1999969482422" hidden="0" customHeight="1">
      <x:c r="A9" s="186" t="str">
        <x:v>2026-07-17</x:v>
      </x:c>
      <x:c r="B9" s="187" t="str">
        <x:v>Electronic cigarette – Rechargeable, placed on the market with one type of e-liquid (fixed combination). Any rechargeable which can also be used as a refillable should be reported under the refillable categ</x:v>
      </x:c>
      <x:c r="C9" s="187" t="n">
        <x:v>4</x:v>
      </x:c>
      <x:c r="D9" s="187" t="n">
        <x:v>4</x:v>
      </x:c>
      <x:c r="E9" s="200" t="n">
        <x:v>0.0033389</x:v>
      </x:c>
      <x:c r="F9" s="187" t="n">
        <x:v>1198</x:v>
      </x:c>
      <x:c r="G9" s="187" t="n">
        <x:v>545</x:v>
      </x:c>
      <x:c r="H9" s="187" t="n">
        <x:v>18</x:v>
      </x:c>
      <x:c r="I9" s="187" t="str">
        <x:v>official_live_registry_snapshot_not_sales</x:v>
      </x:c>
      <x:c r="J9" s="188" t="str">
        <x:v>https://www.sik.dk/registre/file/register_over_e_cigaretter_new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56" hidden="0" customWidth="1"/>
    <x:col min="16" max="16" width="56" hidden="0" customWidth="1"/>
    <x:col min="17" max="17" width="56" hidden="0" customWidth="1"/>
    <x:col min="18" max="18" width="56" hidden="0" customWidth="1"/>
  </x:cols>
  <x:sheetData>
    <x:row r="1" ht="39.599998474121094" hidden="0" customHeight="1">
      <x:c r="A1" s="158" t="str">
        <x:v>period</x:v>
      </x:c>
      <x:c r="B1" s="159" t="str">
        <x:v>scope</x:v>
      </x:c>
      <x:c r="C1" s="159" t="str">
        <x:v>scope_label</x:v>
      </x:c>
      <x:c r="D1" s="159" t="str">
        <x:v>products</x:v>
      </x:c>
      <x:c r="E1" s="159" t="str">
        <x:v>world_import_value_eur</x:v>
      </x:c>
      <x:c r="F1" s="159" t="str">
        <x:v>world_export_value_eur</x:v>
      </x:c>
      <x:c r="G1" s="159" t="str">
        <x:v>border_net_import_value_eur</x:v>
      </x:c>
      <x:c r="H1" s="159" t="str">
        <x:v>intra_eu_import_value_eur</x:v>
      </x:c>
      <x:c r="I1" s="159" t="str">
        <x:v>extra_eu_import_value_eur</x:v>
      </x:c>
      <x:c r="J1" s="159" t="str">
        <x:v>extra_eu_import_share_pct</x:v>
      </x:c>
      <x:c r="K1" s="159" t="str">
        <x:v>intra_eu_export_value_eur</x:v>
      </x:c>
      <x:c r="L1" s="159" t="str">
        <x:v>extra_eu_export_value_eur</x:v>
      </x:c>
      <x:c r="M1" s="159" t="str">
        <x:v>import_route_gap_eur</x:v>
      </x:c>
      <x:c r="N1" s="159" t="str">
        <x:v>export_route_gap_eur</x:v>
      </x:c>
      <x:c r="O1" s="159" t="str">
        <x:v>evidence_status</x:v>
      </x:c>
      <x:c r="P1" s="159" t="str">
        <x:v>interpretation</x:v>
      </x:c>
      <x:c r="Q1" s="159" t="str">
        <x:v>source_url</x:v>
      </x:c>
      <x:c r="R1" s="160" t="str">
        <x:v>method_url</x:v>
      </x:c>
    </x:row>
    <x:row r="2" ht="356.3999938964844" hidden="0" customHeight="1">
      <x:c r="A2" s="180" t="n">
        <x:v>2025</x:v>
      </x:c>
      <x:c r="B2" s="181" t="str">
        <x:v>85434000</x:v>
      </x:c>
      <x:c r="C2" s="181" t="str">
        <x:v>core_devices</x:v>
      </x:c>
      <x:c r="D2" s="181" t="str">
        <x:v>85434000</x:v>
      </x:c>
      <x:c r="E2" s="254" t="n">
        <x:v>4323700</x:v>
      </x:c>
      <x:c r="F2" s="254" t="n">
        <x:v>676096</x:v>
      </x:c>
      <x:c r="G2" s="257" t="n">
        <x:f>E2-F2</x:f>
        <x:v>3647604</x:v>
      </x:c>
      <x:c r="H2" s="254" t="n">
        <x:v>1103384</x:v>
      </x:c>
      <x:c r="I2" s="254" t="n">
        <x:v>3220316</x:v>
      </x:c>
      <x:c r="J2" s="245" t="n">
        <x:f>IFERROR(I2/E2,0)</x:f>
        <x:v>0.744805606309411</x:v>
      </x:c>
      <x:c r="K2" s="254" t="n">
        <x:v>65261</x:v>
      </x:c>
      <x:c r="L2" s="254" t="n">
        <x:v>610835</x:v>
      </x:c>
      <x:c r="M2" s="257" t="n">
        <x:f>E2-H2-I2</x:f>
        <x:v>0</x:v>
      </x:c>
      <x:c r="N2" s="257" t="n">
        <x:f>F2-K2-L2</x:f>
        <x:v>0</x:v>
      </x:c>
      <x:c r="O2" s="181" t="str">
        <x:v>official_customs_statistics_not_consumer_sales</x:v>
      </x:c>
      <x:c r="P2" s="181" t="str">
        <x:v>WORLD equals intra-EU arrivals/dispatches plus extra-EU imports/exports, subject to revisions and confidentiality</x:v>
      </x:c>
      <x:c r="Q2" s="181" t="str">
        <x:v>https://ec.europa.eu/eurostat/api/comext/dissemination/statistics/1.0/data/DS-045409?freq=A&amp;reporter=DK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2" s="182" t="str">
        <x:v>https://ec.europa.eu/eurostat/cache/metadata/en/ext_go_detail_sims.htm</x:v>
      </x:c>
    </x:row>
    <x:row r="3" ht="356.3999938964844" hidden="0" customHeight="1">
      <x:c r="A3" s="183" t="n">
        <x:v>2025</x:v>
      </x:c>
      <x:c r="B3" s="184" t="str">
        <x:v>24041200</x:v>
      </x:c>
      <x:c r="C3" s="184" t="str">
        <x:v>nicotine_inhalation_products</x:v>
      </x:c>
      <x:c r="D3" s="184" t="str">
        <x:v>24041200</x:v>
      </x:c>
      <x:c r="E3" s="255" t="n">
        <x:v>10062310</x:v>
      </x:c>
      <x:c r="F3" s="255" t="n">
        <x:v>228887</x:v>
      </x:c>
      <x:c r="G3" s="258" t="n">
        <x:f>E3-F3</x:f>
        <x:v>9833423</x:v>
      </x:c>
      <x:c r="H3" s="255" t="n">
        <x:v>7202427</x:v>
      </x:c>
      <x:c r="I3" s="255" t="n">
        <x:v>2859883</x:v>
      </x:c>
      <x:c r="J3" s="253" t="n">
        <x:f>IFERROR(I3/E3,0)</x:f>
        <x:v>0.28421734174359564</x:v>
      </x:c>
      <x:c r="K3" s="255" t="n">
        <x:v>36804</x:v>
      </x:c>
      <x:c r="L3" s="255" t="n">
        <x:v>192083</x:v>
      </x:c>
      <x:c r="M3" s="258" t="n">
        <x:f>E3-H3-I3</x:f>
        <x:v>0</x:v>
      </x:c>
      <x:c r="N3" s="258" t="n">
        <x:f>F3-K3-L3</x:f>
        <x:v>0</x:v>
      </x:c>
      <x:c r="O3" s="184" t="str">
        <x:v>official_customs_statistics_not_consumer_sales</x:v>
      </x:c>
      <x:c r="P3" s="184" t="str">
        <x:v>WORLD equals intra-EU arrivals/dispatches plus extra-EU imports/exports, subject to revisions and confidentiality</x:v>
      </x:c>
      <x:c r="Q3" s="184" t="str">
        <x:v>https://ec.europa.eu/eurostat/api/comext/dissemination/statistics/1.0/data/DS-045409?freq=A&amp;reporter=DK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3" s="185" t="str">
        <x:v>https://ec.europa.eu/eurostat/cache/metadata/en/ext_go_detail_sims.htm</x:v>
      </x:c>
    </x:row>
    <x:row r="4" ht="356.3999938964844" hidden="0" customHeight="1">
      <x:c r="A4" s="183" t="n">
        <x:v>2025</x:v>
      </x:c>
      <x:c r="B4" s="184" t="str">
        <x:v>24041910</x:v>
      </x:c>
      <x:c r="C4" s="184" t="str">
        <x:v>nicotine_free_tobacco_substitute_inhalation_proxy</x:v>
      </x:c>
      <x:c r="D4" s="184" t="str">
        <x:v>24041910</x:v>
      </x:c>
      <x:c r="E4" s="255" t="n">
        <x:v>30130</x:v>
      </x:c>
      <x:c r="F4" s="255" t="n">
        <x:v>0</x:v>
      </x:c>
      <x:c r="G4" s="258" t="n">
        <x:f>E4-F4</x:f>
        <x:v>30130</x:v>
      </x:c>
      <x:c r="H4" s="255" t="n">
        <x:v>30130</x:v>
      </x:c>
      <x:c r="I4" s="255" t="n">
        <x:v>0</x:v>
      </x:c>
      <x:c r="J4" s="253" t="n">
        <x:f>IFERROR(I4/E4,0)</x:f>
        <x:v>0</x:v>
      </x:c>
      <x:c r="K4" s="255" t="n">
        <x:v>0</x:v>
      </x:c>
      <x:c r="L4" s="255" t="n">
        <x:v>0</x:v>
      </x:c>
      <x:c r="M4" s="258" t="n">
        <x:f>E4-H4-I4</x:f>
        <x:v>0</x:v>
      </x:c>
      <x:c r="N4" s="258" t="n">
        <x:f>F4-K4-L4</x:f>
        <x:v>0</x:v>
      </x:c>
      <x:c r="O4" s="184" t="str">
        <x:v>official_customs_statistics_not_consumer_sales</x:v>
      </x:c>
      <x:c r="P4" s="184" t="str">
        <x:v>WORLD equals intra-EU arrivals/dispatches plus extra-EU imports/exports, subject to revisions and confidentiality</x:v>
      </x:c>
      <x:c r="Q4" s="184" t="str">
        <x:v>https://ec.europa.eu/eurostat/api/comext/dissemination/statistics/1.0/data/DS-045409?freq=A&amp;reporter=DK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4" s="185" t="str">
        <x:v>https://ec.europa.eu/eurostat/cache/metadata/en/ext_go_detail_sims.htm</x:v>
      </x:c>
    </x:row>
    <x:row r="5" ht="356.3999938964844" hidden="0" customHeight="1">
      <x:c r="A5" s="183" t="n">
        <x:v>2025</x:v>
      </x:c>
      <x:c r="B5" s="184" t="str">
        <x:v>24041990</x:v>
      </x:c>
      <x:c r="C5" s="184" t="str">
        <x:v>other_substitute_inhalation_proxy</x:v>
      </x:c>
      <x:c r="D5" s="184" t="str">
        <x:v>24041990</x:v>
      </x:c>
      <x:c r="E5" s="255" t="n">
        <x:v>759636</x:v>
      </x:c>
      <x:c r="F5" s="255" t="n">
        <x:v>50519</x:v>
      </x:c>
      <x:c r="G5" s="258" t="n">
        <x:f>E5-F5</x:f>
        <x:v>709117</x:v>
      </x:c>
      <x:c r="H5" s="255" t="n">
        <x:v>373778</x:v>
      </x:c>
      <x:c r="I5" s="255" t="n">
        <x:v>385858</x:v>
      </x:c>
      <x:c r="J5" s="253" t="n">
        <x:f>IFERROR(I5/E5,0)</x:f>
        <x:v>0.5079511766161688</x:v>
      </x:c>
      <x:c r="K5" s="255" t="n">
        <x:v>16460</x:v>
      </x:c>
      <x:c r="L5" s="255" t="n">
        <x:v>34059</x:v>
      </x:c>
      <x:c r="M5" s="258" t="n">
        <x:f>E5-H5-I5</x:f>
        <x:v>0</x:v>
      </x:c>
      <x:c r="N5" s="258" t="n">
        <x:f>F5-K5-L5</x:f>
        <x:v>0</x:v>
      </x:c>
      <x:c r="O5" s="184" t="str">
        <x:v>official_customs_statistics_not_consumer_sales</x:v>
      </x:c>
      <x:c r="P5" s="184" t="str">
        <x:v>WORLD equals intra-EU arrivals/dispatches plus extra-EU imports/exports, subject to revisions and confidentiality</x:v>
      </x:c>
      <x:c r="Q5" s="184" t="str">
        <x:v>https://ec.europa.eu/eurostat/api/comext/dissemination/statistics/1.0/data/DS-045409?freq=A&amp;reporter=DK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5" s="185" t="str">
        <x:v>https://ec.europa.eu/eurostat/cache/metadata/en/ext_go_detail_sims.htm</x:v>
      </x:c>
    </x:row>
    <x:row r="6" ht="356.3999938964844" hidden="0" customHeight="1">
      <x:c r="A6" s="183" t="n">
        <x:v>2025</x:v>
      </x:c>
      <x:c r="B6" s="184" t="str">
        <x:v>narrow_patent_scope_proxy</x:v>
      </x:c>
      <x:c r="C6" s="184" t="str">
        <x:v>narrow patent scope proxy</x:v>
      </x:c>
      <x:c r="D6" s="184" t="str">
        <x:v>85434000+24041200</x:v>
      </x:c>
      <x:c r="E6" s="255" t="n">
        <x:v>14386010</x:v>
      </x:c>
      <x:c r="F6" s="255" t="n">
        <x:v>904983</x:v>
      </x:c>
      <x:c r="G6" s="258" t="n">
        <x:f>E6-F6</x:f>
        <x:v>13481027</x:v>
      </x:c>
      <x:c r="H6" s="255" t="n">
        <x:v>8305811</x:v>
      </x:c>
      <x:c r="I6" s="255" t="n">
        <x:v>6080199</x:v>
      </x:c>
      <x:c r="J6" s="253" t="n">
        <x:f>IFERROR(I6/E6,0)</x:f>
        <x:v>0.4226466546318263</x:v>
      </x:c>
      <x:c r="K6" s="255" t="n">
        <x:v>102065</x:v>
      </x:c>
      <x:c r="L6" s="255" t="n">
        <x:v>802918</x:v>
      </x:c>
      <x:c r="M6" s="258" t="n">
        <x:f>E6-H6-I6</x:f>
        <x:v>0</x:v>
      </x:c>
      <x:c r="N6" s="258" t="n">
        <x:f>F6-K6-L6</x:f>
        <x:v>0</x:v>
      </x:c>
      <x:c r="O6" s="184" t="str">
        <x:v>official_customs_statistics_not_consumer_sales</x:v>
      </x:c>
      <x:c r="P6" s="184" t="str">
        <x:v>WORLD equals intra-EU arrivals/dispatches plus extra-EU imports/exports, subject to revisions and confidentiality</x:v>
      </x:c>
      <x:c r="Q6" s="184" t="str">
        <x:v>https://ec.europa.eu/eurostat/api/comext/dissemination/statistics/1.0/data/DS-045409?freq=A&amp;reporter=DK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6" s="185" t="str">
        <x:v>https://ec.europa.eu/eurostat/cache/metadata/en/ext_go_detail_sims.htm</x:v>
      </x:c>
    </x:row>
    <x:row r="7" ht="356.3999938964844" hidden="0" customHeight="1">
      <x:c r="A7" s="186" t="n">
        <x:v>2025</x:v>
      </x:c>
      <x:c r="B7" s="187" t="str">
        <x:v>broad_inhalation_proxy</x:v>
      </x:c>
      <x:c r="C7" s="187" t="str">
        <x:v>broad inhalation proxy</x:v>
      </x:c>
      <x:c r="D7" s="187" t="str">
        <x:v>85434000+24041200+24041910+24041990</x:v>
      </x:c>
      <x:c r="E7" s="256" t="n">
        <x:v>15175776</x:v>
      </x:c>
      <x:c r="F7" s="256" t="n">
        <x:v>955502</x:v>
      </x:c>
      <x:c r="G7" s="259" t="n">
        <x:f>E7-F7</x:f>
        <x:v>14220274</x:v>
      </x:c>
      <x:c r="H7" s="256" t="n">
        <x:v>8709719</x:v>
      </x:c>
      <x:c r="I7" s="256" t="n">
        <x:v>6466057</x:v>
      </x:c>
      <x:c r="J7" s="201" t="n">
        <x:f>IFERROR(I7/E7,0)</x:f>
        <x:v>0.4260775198579631</x:v>
      </x:c>
      <x:c r="K7" s="256" t="n">
        <x:v>118525</x:v>
      </x:c>
      <x:c r="L7" s="256" t="n">
        <x:v>836977</x:v>
      </x:c>
      <x:c r="M7" s="259" t="n">
        <x:f>E7-H7-I7</x:f>
        <x:v>0</x:v>
      </x:c>
      <x:c r="N7" s="259" t="n">
        <x:f>F7-K7-L7</x:f>
        <x:v>0</x:v>
      </x:c>
      <x:c r="O7" s="187" t="str">
        <x:v>official_customs_statistics_not_consumer_sales</x:v>
      </x:c>
      <x:c r="P7" s="187" t="str">
        <x:v>WORLD equals intra-EU arrivals/dispatches plus extra-EU imports/exports, subject to revisions and confidentiality</x:v>
      </x:c>
      <x:c r="Q7" s="187" t="str">
        <x:v>https://ec.europa.eu/eurostat/api/comext/dissemination/statistics/1.0/data/DS-045409?freq=A&amp;reporter=DK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7" s="188" t="str">
        <x:v>https://ec.europa.eu/eurostat/cache/metadata/en/ext_go_detail_sims.htm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3" hidden="0" customWidth="1"/>
    <x:col min="10" max="10" width="23" hidden="0" customWidth="1"/>
    <x:col min="11" max="11" width="58" hidden="0" customWidth="1"/>
    <x:col min="12" max="12" width="58" hidden="0" customWidth="1"/>
  </x:cols>
  <x:sheetData>
    <x:row r="1" ht="52.79999923706055" hidden="0" customHeight="1">
      <x:c r="A1" s="158" t="str">
        <x:v>period</x:v>
      </x:c>
      <x:c r="B1" s="159" t="str">
        <x:v>scope</x:v>
      </x:c>
      <x:c r="C1" s="159" t="str">
        <x:v>products</x:v>
      </x:c>
      <x:c r="D1" s="159" t="str">
        <x:v>flow</x:v>
      </x:c>
      <x:c r="E1" s="159" t="str">
        <x:v>rank</x:v>
      </x:c>
      <x:c r="F1" s="159" t="str">
        <x:v>partner</x:v>
      </x:c>
      <x:c r="G1" s="159" t="str">
        <x:v>partner_label</x:v>
      </x:c>
      <x:c r="H1" s="159" t="str">
        <x:v>partner_basis</x:v>
      </x:c>
      <x:c r="I1" s="159" t="str">
        <x:v>value_eur</x:v>
      </x:c>
      <x:c r="J1" s="159" t="str">
        <x:v>share_of_country_partner_rows_pct</x:v>
      </x:c>
      <x:c r="K1" s="159" t="str">
        <x:v>method_note</x:v>
      </x:c>
      <x:c r="L1" s="160" t="str">
        <x:v>source_url</x:v>
      </x:c>
    </x:row>
    <x:row r="2" ht="226.8000030517578" hidden="0" customHeight="1">
      <x:c r="A2" s="180" t="n">
        <x:v>2025</x:v>
      </x:c>
      <x:c r="B2" s="181" t="str">
        <x:v>narrow_patent_scope_proxy</x:v>
      </x:c>
      <x:c r="C2" s="181" t="str">
        <x:v>85434000+24041200</x:v>
      </x:c>
      <x:c r="D2" s="181" t="str">
        <x:v>import</x:v>
      </x:c>
      <x:c r="E2" s="181" t="n">
        <x:v>1</x:v>
      </x:c>
      <x:c r="F2" s="181" t="str">
        <x:v>CN</x:v>
      </x:c>
      <x:c r="G2" s="181" t="str">
        <x:v>China</x:v>
      </x:c>
      <x:c r="H2" s="181" t="str">
        <x:v>extra-EU country of origin</x:v>
      </x:c>
      <x:c r="I2" s="254" t="n">
        <x:v>5879812</x:v>
      </x:c>
      <x:c r="J2" s="199" t="n">
        <x:v>0.40871736</x:v>
      </x:c>
      <x:c r="K2" s="181" t="str">
        <x:v>intra-EU import partner is consignment country, not necessarily origin; export partner is destination</x:v>
      </x:c>
      <x:c r="L2" s="182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" ht="226.8000030517578" hidden="0" customHeight="1">
      <x:c r="A3" s="183" t="n">
        <x:v>2025</x:v>
      </x:c>
      <x:c r="B3" s="184" t="str">
        <x:v>narrow_patent_scope_proxy</x:v>
      </x:c>
      <x:c r="C3" s="184" t="str">
        <x:v>85434000+24041200</x:v>
      </x:c>
      <x:c r="D3" s="184" t="str">
        <x:v>import</x:v>
      </x:c>
      <x:c r="E3" s="184" t="n">
        <x:v>2</x:v>
      </x:c>
      <x:c r="F3" s="184" t="str">
        <x:v>HR</x:v>
      </x:c>
      <x:c r="G3" s="184" t="str">
        <x:v>Croatia</x:v>
      </x:c>
      <x:c r="H3" s="184" t="str">
        <x:v>intra-EU country of consignment</x:v>
      </x:c>
      <x:c r="I3" s="255" t="n">
        <x:v>3917406</x:v>
      </x:c>
      <x:c r="J3" s="252" t="n">
        <x:v>0.27230664</x:v>
      </x:c>
      <x:c r="K3" s="184" t="str">
        <x:v>intra-EU import partner is consignment country, not necessarily origin; export partner is destination</x:v>
      </x:c>
      <x:c r="L3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4" ht="226.8000030517578" hidden="0" customHeight="1">
      <x:c r="A4" s="183" t="n">
        <x:v>2025</x:v>
      </x:c>
      <x:c r="B4" s="184" t="str">
        <x:v>narrow_patent_scope_proxy</x:v>
      </x:c>
      <x:c r="C4" s="184" t="str">
        <x:v>85434000+24041200</x:v>
      </x:c>
      <x:c r="D4" s="184" t="str">
        <x:v>import</x:v>
      </x:c>
      <x:c r="E4" s="184" t="n">
        <x:v>3</x:v>
      </x:c>
      <x:c r="F4" s="184" t="str">
        <x:v>PL</x:v>
      </x:c>
      <x:c r="G4" s="184" t="str">
        <x:v>Poland</x:v>
      </x:c>
      <x:c r="H4" s="184" t="str">
        <x:v>intra-EU country of consignment</x:v>
      </x:c>
      <x:c r="I4" s="255" t="n">
        <x:v>2446753</x:v>
      </x:c>
      <x:c r="J4" s="252" t="n">
        <x:v>0.17007864</x:v>
      </x:c>
      <x:c r="K4" s="184" t="str">
        <x:v>intra-EU import partner is consignment country, not necessarily origin; export partner is destination</x:v>
      </x:c>
      <x:c r="L4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5" ht="226.8000030517578" hidden="0" customHeight="1">
      <x:c r="A5" s="183" t="n">
        <x:v>2025</x:v>
      </x:c>
      <x:c r="B5" s="184" t="str">
        <x:v>narrow_patent_scope_proxy</x:v>
      </x:c>
      <x:c r="C5" s="184" t="str">
        <x:v>85434000+24041200</x:v>
      </x:c>
      <x:c r="D5" s="184" t="str">
        <x:v>import</x:v>
      </x:c>
      <x:c r="E5" s="184" t="n">
        <x:v>4</x:v>
      </x:c>
      <x:c r="F5" s="184" t="str">
        <x:v>DE</x:v>
      </x:c>
      <x:c r="G5" s="184" t="str">
        <x:v>Germany (incl. German Democratic Republic 'DD' from 1991)</x:v>
      </x:c>
      <x:c r="H5" s="184" t="str">
        <x:v>intra-EU country of consignment</x:v>
      </x:c>
      <x:c r="I5" s="255" t="n">
        <x:v>872221</x:v>
      </x:c>
      <x:c r="J5" s="252" t="n">
        <x:v>0.06062981</x:v>
      </x:c>
      <x:c r="K5" s="184" t="str">
        <x:v>intra-EU import partner is consignment country, not necessarily origin; export partner is destination</x:v>
      </x:c>
      <x:c r="L5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6" ht="226.8000030517578" hidden="0" customHeight="1">
      <x:c r="A6" s="183" t="n">
        <x:v>2025</x:v>
      </x:c>
      <x:c r="B6" s="184" t="str">
        <x:v>narrow_patent_scope_proxy</x:v>
      </x:c>
      <x:c r="C6" s="184" t="str">
        <x:v>85434000+24041200</x:v>
      </x:c>
      <x:c r="D6" s="184" t="str">
        <x:v>import</x:v>
      </x:c>
      <x:c r="E6" s="184" t="n">
        <x:v>5</x:v>
      </x:c>
      <x:c r="F6" s="184" t="str">
        <x:v>FR</x:v>
      </x:c>
      <x:c r="G6" s="184" t="str">
        <x:v>France (incl. Saint Barthélemy 'BL' -&gt; 2012; incl. French Guiana 'GF', Guadeloupe 'GP', Martinique 'MQ', Réunion 'RE' from 1997; incl. Mayotte 'YT' from 2014)</x:v>
      </x:c>
      <x:c r="H6" s="184" t="str">
        <x:v>intra-EU country of consignment</x:v>
      </x:c>
      <x:c r="I6" s="255" t="n">
        <x:v>370124</x:v>
      </x:c>
      <x:c r="J6" s="252" t="n">
        <x:v>0.02572805</x:v>
      </x:c>
      <x:c r="K6" s="184" t="str">
        <x:v>intra-EU import partner is consignment country, not necessarily origin; export partner is destination</x:v>
      </x:c>
      <x:c r="L6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7" ht="226.8000030517578" hidden="0" customHeight="1">
      <x:c r="A7" s="183" t="n">
        <x:v>2025</x:v>
      </x:c>
      <x:c r="B7" s="184" t="str">
        <x:v>narrow_patent_scope_proxy</x:v>
      </x:c>
      <x:c r="C7" s="184" t="str">
        <x:v>85434000+24041200</x:v>
      </x:c>
      <x:c r="D7" s="184" t="str">
        <x:v>import</x:v>
      </x:c>
      <x:c r="E7" s="184" t="n">
        <x:v>6</x:v>
      </x:c>
      <x:c r="F7" s="184" t="str">
        <x:v>IT</x:v>
      </x:c>
      <x:c r="G7" s="184" t="str">
        <x:v>Italy (incl. San Marino 'SM' -&gt; 1993)</x:v>
      </x:c>
      <x:c r="H7" s="184" t="str">
        <x:v>intra-EU country of consignment</x:v>
      </x:c>
      <x:c r="I7" s="255" t="n">
        <x:v>316623</x:v>
      </x:c>
      <x:c r="J7" s="252" t="n">
        <x:v>0.02200909</x:v>
      </x:c>
      <x:c r="K7" s="184" t="str">
        <x:v>intra-EU import partner is consignment country, not necessarily origin; export partner is destination</x:v>
      </x:c>
      <x:c r="L7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8" ht="226.8000030517578" hidden="0" customHeight="1">
      <x:c r="A8" s="183" t="n">
        <x:v>2025</x:v>
      </x:c>
      <x:c r="B8" s="184" t="str">
        <x:v>narrow_patent_scope_proxy</x:v>
      </x:c>
      <x:c r="C8" s="184" t="str">
        <x:v>85434000+24041200</x:v>
      </x:c>
      <x:c r="D8" s="184" t="str">
        <x:v>import</x:v>
      </x:c>
      <x:c r="E8" s="184" t="n">
        <x:v>7</x:v>
      </x:c>
      <x:c r="F8" s="184" t="str">
        <x:v>SE</x:v>
      </x:c>
      <x:c r="G8" s="184" t="str">
        <x:v>Sweden</x:v>
      </x:c>
      <x:c r="H8" s="184" t="str">
        <x:v>intra-EU country of consignment</x:v>
      </x:c>
      <x:c r="I8" s="255" t="n">
        <x:v>258624</x:v>
      </x:c>
      <x:c r="J8" s="252" t="n">
        <x:v>0.01797747</x:v>
      </x:c>
      <x:c r="K8" s="184" t="str">
        <x:v>intra-EU import partner is consignment country, not necessarily origin; export partner is destination</x:v>
      </x:c>
      <x:c r="L8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9" ht="226.8000030517578" hidden="0" customHeight="1">
      <x:c r="A9" s="183" t="n">
        <x:v>2025</x:v>
      </x:c>
      <x:c r="B9" s="184" t="str">
        <x:v>narrow_patent_scope_proxy</x:v>
      </x:c>
      <x:c r="C9" s="184" t="str">
        <x:v>85434000+24041200</x:v>
      </x:c>
      <x:c r="D9" s="184" t="str">
        <x:v>import</x:v>
      </x:c>
      <x:c r="E9" s="184" t="n">
        <x:v>8</x:v>
      </x:c>
      <x:c r="F9" s="184" t="str">
        <x:v>HK</x:v>
      </x:c>
      <x:c r="G9" s="184" t="str">
        <x:v>Hong Kong</x:v>
      </x:c>
      <x:c r="H9" s="184" t="str">
        <x:v>extra-EU country of origin</x:v>
      </x:c>
      <x:c r="I9" s="255" t="n">
        <x:v>115759</x:v>
      </x:c>
      <x:c r="J9" s="252" t="n">
        <x:v>0.00804664</x:v>
      </x:c>
      <x:c r="K9" s="184" t="str">
        <x:v>intra-EU import partner is consignment country, not necessarily origin; export partner is destination</x:v>
      </x:c>
      <x:c r="L9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10" ht="226.8000030517578" hidden="0" customHeight="1">
      <x:c r="A10" s="183" t="n">
        <x:v>2025</x:v>
      </x:c>
      <x:c r="B10" s="184" t="str">
        <x:v>narrow_patent_scope_proxy</x:v>
      </x:c>
      <x:c r="C10" s="184" t="str">
        <x:v>85434000+24041200</x:v>
      </x:c>
      <x:c r="D10" s="184" t="str">
        <x:v>import</x:v>
      </x:c>
      <x:c r="E10" s="184" t="n">
        <x:v>9</x:v>
      </x:c>
      <x:c r="F10" s="184" t="str">
        <x:v>GR</x:v>
      </x:c>
      <x:c r="G10" s="184" t="str">
        <x:v>Greece</x:v>
      </x:c>
      <x:c r="H10" s="184" t="str">
        <x:v>intra-EU country of consignment</x:v>
      </x:c>
      <x:c r="I10" s="255" t="n">
        <x:v>63828</x:v>
      </x:c>
      <x:c r="J10" s="252" t="n">
        <x:v>0.00443681</x:v>
      </x:c>
      <x:c r="K10" s="184" t="str">
        <x:v>intra-EU import partner is consignment country, not necessarily origin; export partner is destination</x:v>
      </x:c>
      <x:c r="L10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11" ht="226.8000030517578" hidden="0" customHeight="1">
      <x:c r="A11" s="183" t="n">
        <x:v>2025</x:v>
      </x:c>
      <x:c r="B11" s="184" t="str">
        <x:v>narrow_patent_scope_proxy</x:v>
      </x:c>
      <x:c r="C11" s="184" t="str">
        <x:v>85434000+24041200</x:v>
      </x:c>
      <x:c r="D11" s="184" t="str">
        <x:v>import</x:v>
      </x:c>
      <x:c r="E11" s="184" t="n">
        <x:v>10</x:v>
      </x:c>
      <x:c r="F11" s="184" t="str">
        <x:v>GB</x:v>
      </x:c>
      <x:c r="G11" s="184" t="str">
        <x:v>United Kingdom</x:v>
      </x:c>
      <x:c r="H11" s="184" t="str">
        <x:v>extra-EU country of origin</x:v>
      </x:c>
      <x:c r="I11" s="255" t="n">
        <x:v>42893</x:v>
      </x:c>
      <x:c r="J11" s="252" t="n">
        <x:v>0.0029815799999999997</x:v>
      </x:c>
      <x:c r="K11" s="184" t="str">
        <x:v>intra-EU import partner is consignment country, not necessarily origin; export partner is destination</x:v>
      </x:c>
      <x:c r="L11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12" ht="226.8000030517578" hidden="0" customHeight="1">
      <x:c r="A12" s="183" t="n">
        <x:v>2025</x:v>
      </x:c>
      <x:c r="B12" s="184" t="str">
        <x:v>narrow_patent_scope_proxy</x:v>
      </x:c>
      <x:c r="C12" s="184" t="str">
        <x:v>85434000+24041200</x:v>
      </x:c>
      <x:c r="D12" s="184" t="str">
        <x:v>export</x:v>
      </x:c>
      <x:c r="E12" s="184" t="n">
        <x:v>1</x:v>
      </x:c>
      <x:c r="F12" s="184" t="str">
        <x:v>NO</x:v>
      </x:c>
      <x:c r="G12" s="184" t="str">
        <x:v>Norway (incl. Svalbard and Jan Mayen 'SJ' -&gt; 1994 and again from 1997)</x:v>
      </x:c>
      <x:c r="H12" s="184" t="str">
        <x:v>country of destination</x:v>
      </x:c>
      <x:c r="I12" s="255" t="n">
        <x:v>408967</x:v>
      </x:c>
      <x:c r="J12" s="252" t="n">
        <x:v>0.45190573</x:v>
      </x:c>
      <x:c r="K12" s="184" t="str">
        <x:v>intra-EU import partner is consignment country, not necessarily origin; export partner is destination</x:v>
      </x:c>
      <x:c r="L12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13" ht="226.8000030517578" hidden="0" customHeight="1">
      <x:c r="A13" s="183" t="n">
        <x:v>2025</x:v>
      </x:c>
      <x:c r="B13" s="184" t="str">
        <x:v>narrow_patent_scope_proxy</x:v>
      </x:c>
      <x:c r="C13" s="184" t="str">
        <x:v>85434000+24041200</x:v>
      </x:c>
      <x:c r="D13" s="184" t="str">
        <x:v>export</x:v>
      </x:c>
      <x:c r="E13" s="184" t="n">
        <x:v>2</x:v>
      </x:c>
      <x:c r="F13" s="184" t="str">
        <x:v>US</x:v>
      </x:c>
      <x:c r="G13" s="184" t="str">
        <x:v>United States (incl. Navassa Island (part of 'UM') from 1995 -&gt; 2000)</x:v>
      </x:c>
      <x:c r="H13" s="184" t="str">
        <x:v>country of destination</x:v>
      </x:c>
      <x:c r="I13" s="255" t="n">
        <x:v>284685</x:v>
      </x:c>
      <x:c r="J13" s="252" t="n">
        <x:v>0.31457497</x:v>
      </x:c>
      <x:c r="K13" s="184" t="str">
        <x:v>intra-EU import partner is consignment country, not necessarily origin; export partner is destination</x:v>
      </x:c>
      <x:c r="L13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14" ht="226.8000030517578" hidden="0" customHeight="1">
      <x:c r="A14" s="183" t="n">
        <x:v>2025</x:v>
      </x:c>
      <x:c r="B14" s="184" t="str">
        <x:v>narrow_patent_scope_proxy</x:v>
      </x:c>
      <x:c r="C14" s="184" t="str">
        <x:v>85434000+24041200</x:v>
      </x:c>
      <x:c r="D14" s="184" t="str">
        <x:v>export</x:v>
      </x:c>
      <x:c r="E14" s="184" t="n">
        <x:v>3</x:v>
      </x:c>
      <x:c r="F14" s="184" t="str">
        <x:v>MX</x:v>
      </x:c>
      <x:c r="G14" s="184" t="str">
        <x:v>Mexico</x:v>
      </x:c>
      <x:c r="H14" s="184" t="str">
        <x:v>country of destination</x:v>
      </x:c>
      <x:c r="I14" s="255" t="n">
        <x:v>56756</x:v>
      </x:c>
      <x:c r="J14" s="252" t="n">
        <x:v>0.06271499</x:v>
      </x:c>
      <x:c r="K14" s="184" t="str">
        <x:v>intra-EU import partner is consignment country, not necessarily origin; export partner is destination</x:v>
      </x:c>
      <x:c r="L14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15" ht="226.8000030517578" hidden="0" customHeight="1">
      <x:c r="A15" s="183" t="n">
        <x:v>2025</x:v>
      </x:c>
      <x:c r="B15" s="184" t="str">
        <x:v>narrow_patent_scope_proxy</x:v>
      </x:c>
      <x:c r="C15" s="184" t="str">
        <x:v>85434000+24041200</x:v>
      </x:c>
      <x:c r="D15" s="184" t="str">
        <x:v>export</x:v>
      </x:c>
      <x:c r="E15" s="184" t="n">
        <x:v>4</x:v>
      </x:c>
      <x:c r="F15" s="184" t="str">
        <x:v>DE</x:v>
      </x:c>
      <x:c r="G15" s="184" t="str">
        <x:v>Germany (incl. German Democratic Republic 'DD' from 1991)</x:v>
      </x:c>
      <x:c r="H15" s="184" t="str">
        <x:v>country of destination</x:v>
      </x:c>
      <x:c r="I15" s="255" t="n">
        <x:v>39752</x:v>
      </x:c>
      <x:c r="J15" s="252" t="n">
        <x:v>0.043925689999999996</x:v>
      </x:c>
      <x:c r="K15" s="184" t="str">
        <x:v>intra-EU import partner is consignment country, not necessarily origin; export partner is destination</x:v>
      </x:c>
      <x:c r="L15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16" ht="226.8000030517578" hidden="0" customHeight="1">
      <x:c r="A16" s="183" t="n">
        <x:v>2025</x:v>
      </x:c>
      <x:c r="B16" s="184" t="str">
        <x:v>narrow_patent_scope_proxy</x:v>
      </x:c>
      <x:c r="C16" s="184" t="str">
        <x:v>85434000+24041200</x:v>
      </x:c>
      <x:c r="D16" s="184" t="str">
        <x:v>export</x:v>
      </x:c>
      <x:c r="E16" s="184" t="n">
        <x:v>5</x:v>
      </x:c>
      <x:c r="F16" s="184" t="str">
        <x:v>FI</x:v>
      </x:c>
      <x:c r="G16" s="184" t="str">
        <x:v>Finland</x:v>
      </x:c>
      <x:c r="H16" s="184" t="str">
        <x:v>country of destination</x:v>
      </x:c>
      <x:c r="I16" s="255" t="n">
        <x:v>18483</x:v>
      </x:c>
      <x:c r="J16" s="252" t="n">
        <x:v>0.02042359</x:v>
      </x:c>
      <x:c r="K16" s="184" t="str">
        <x:v>intra-EU import partner is consignment country, not necessarily origin; export partner is destination</x:v>
      </x:c>
      <x:c r="L16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17" ht="226.8000030517578" hidden="0" customHeight="1">
      <x:c r="A17" s="183" t="n">
        <x:v>2025</x:v>
      </x:c>
      <x:c r="B17" s="184" t="str">
        <x:v>narrow_patent_scope_proxy</x:v>
      </x:c>
      <x:c r="C17" s="184" t="str">
        <x:v>85434000+24041200</x:v>
      </x:c>
      <x:c r="D17" s="184" t="str">
        <x:v>export</x:v>
      </x:c>
      <x:c r="E17" s="184" t="n">
        <x:v>6</x:v>
      </x:c>
      <x:c r="F17" s="184" t="str">
        <x:v>SE</x:v>
      </x:c>
      <x:c r="G17" s="184" t="str">
        <x:v>Sweden</x:v>
      </x:c>
      <x:c r="H17" s="184" t="str">
        <x:v>country of destination</x:v>
      </x:c>
      <x:c r="I17" s="255" t="n">
        <x:v>18046</x:v>
      </x:c>
      <x:c r="J17" s="252" t="n">
        <x:v>0.01994071</x:v>
      </x:c>
      <x:c r="K17" s="184" t="str">
        <x:v>intra-EU import partner is consignment country, not necessarily origin; export partner is destination</x:v>
      </x:c>
      <x:c r="L17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18" ht="226.8000030517578" hidden="0" customHeight="1">
      <x:c r="A18" s="183" t="n">
        <x:v>2025</x:v>
      </x:c>
      <x:c r="B18" s="184" t="str">
        <x:v>narrow_patent_scope_proxy</x:v>
      </x:c>
      <x:c r="C18" s="184" t="str">
        <x:v>85434000+24041200</x:v>
      </x:c>
      <x:c r="D18" s="184" t="str">
        <x:v>export</x:v>
      </x:c>
      <x:c r="E18" s="184" t="n">
        <x:v>7</x:v>
      </x:c>
      <x:c r="F18" s="184" t="str">
        <x:v>GL</x:v>
      </x:c>
      <x:c r="G18" s="184" t="str">
        <x:v>Greenland</x:v>
      </x:c>
      <x:c r="H18" s="184" t="str">
        <x:v>country of destination</x:v>
      </x:c>
      <x:c r="I18" s="255" t="n">
        <x:v>16326</x:v>
      </x:c>
      <x:c r="J18" s="252" t="n">
        <x:v>0.01804012</x:v>
      </x:c>
      <x:c r="K18" s="184" t="str">
        <x:v>intra-EU import partner is consignment country, not necessarily origin; export partner is destination</x:v>
      </x:c>
      <x:c r="L18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19" ht="226.8000030517578" hidden="0" customHeight="1">
      <x:c r="A19" s="183" t="n">
        <x:v>2025</x:v>
      </x:c>
      <x:c r="B19" s="184" t="str">
        <x:v>narrow_patent_scope_proxy</x:v>
      </x:c>
      <x:c r="C19" s="184" t="str">
        <x:v>85434000+24041200</x:v>
      </x:c>
      <x:c r="D19" s="184" t="str">
        <x:v>export</x:v>
      </x:c>
      <x:c r="E19" s="184" t="n">
        <x:v>8</x:v>
      </x:c>
      <x:c r="F19" s="184" t="str">
        <x:v>GB</x:v>
      </x:c>
      <x:c r="G19" s="184" t="str">
        <x:v>United Kingdom</x:v>
      </x:c>
      <x:c r="H19" s="184" t="str">
        <x:v>country of destination</x:v>
      </x:c>
      <x:c r="I19" s="255" t="n">
        <x:v>14711</x:v>
      </x:c>
      <x:c r="J19" s="252" t="n">
        <x:v>0.01625555</x:v>
      </x:c>
      <x:c r="K19" s="184" t="str">
        <x:v>intra-EU import partner is consignment country, not necessarily origin; export partner is destination</x:v>
      </x:c>
      <x:c r="L19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20" ht="226.8000030517578" hidden="0" customHeight="1">
      <x:c r="A20" s="183" t="n">
        <x:v>2025</x:v>
      </x:c>
      <x:c r="B20" s="184" t="str">
        <x:v>narrow_patent_scope_proxy</x:v>
      </x:c>
      <x:c r="C20" s="184" t="str">
        <x:v>85434000+24041200</x:v>
      </x:c>
      <x:c r="D20" s="184" t="str">
        <x:v>export</x:v>
      </x:c>
      <x:c r="E20" s="184" t="n">
        <x:v>9</x:v>
      </x:c>
      <x:c r="F20" s="184" t="str">
        <x:v>CH</x:v>
      </x:c>
      <x:c r="G20" s="184" t="str">
        <x:v>Switzerland (incl. Liechtenstein 'LI' -&gt; 1994)</x:v>
      </x:c>
      <x:c r="H20" s="184" t="str">
        <x:v>country of destination</x:v>
      </x:c>
      <x:c r="I20" s="255" t="n">
        <x:v>12623</x:v>
      </x:c>
      <x:c r="J20" s="252" t="n">
        <x:v>0.01394833</x:v>
      </x:c>
      <x:c r="K20" s="184" t="str">
        <x:v>intra-EU import partner is consignment country, not necessarily origin; export partner is destination</x:v>
      </x:c>
      <x:c r="L20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21" ht="226.8000030517578" hidden="0" customHeight="1">
      <x:c r="A21" s="183" t="n">
        <x:v>2025</x:v>
      </x:c>
      <x:c r="B21" s="184" t="str">
        <x:v>narrow_patent_scope_proxy</x:v>
      </x:c>
      <x:c r="C21" s="184" t="str">
        <x:v>85434000+24041200</x:v>
      </x:c>
      <x:c r="D21" s="184" t="str">
        <x:v>export</x:v>
      </x:c>
      <x:c r="E21" s="184" t="n">
        <x:v>10</x:v>
      </x:c>
      <x:c r="F21" s="184" t="str">
        <x:v>NL</x:v>
      </x:c>
      <x:c r="G21" s="184" t="str">
        <x:v>Netherlands</x:v>
      </x:c>
      <x:c r="H21" s="184" t="str">
        <x:v>country of destination</x:v>
      </x:c>
      <x:c r="I21" s="255" t="n">
        <x:v>8894</x:v>
      </x:c>
      <x:c r="J21" s="252" t="n">
        <x:v>0.00982781</x:v>
      </x:c>
      <x:c r="K21" s="184" t="str">
        <x:v>intra-EU import partner is consignment country, not necessarily origin; export partner is destination</x:v>
      </x:c>
      <x:c r="L21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22" ht="226.8000030517578" hidden="0" customHeight="1">
      <x:c r="A22" s="183" t="n">
        <x:v>2025</x:v>
      </x:c>
      <x:c r="B22" s="184" t="str">
        <x:v>broad_inhalation_proxy</x:v>
      </x:c>
      <x:c r="C22" s="184" t="str">
        <x:v>85434000+24041200+24041910+24041990</x:v>
      </x:c>
      <x:c r="D22" s="184" t="str">
        <x:v>import</x:v>
      </x:c>
      <x:c r="E22" s="184" t="n">
        <x:v>1</x:v>
      </x:c>
      <x:c r="F22" s="184" t="str">
        <x:v>CN</x:v>
      </x:c>
      <x:c r="G22" s="184" t="str">
        <x:v>China</x:v>
      </x:c>
      <x:c r="H22" s="184" t="str">
        <x:v>extra-EU country of origin</x:v>
      </x:c>
      <x:c r="I22" s="255" t="n">
        <x:v>5879819</x:v>
      </x:c>
      <x:c r="J22" s="252" t="n">
        <x:v>0.38744767</x:v>
      </x:c>
      <x:c r="K22" s="184" t="str">
        <x:v>intra-EU import partner is consignment country, not necessarily origin; export partner is destination</x:v>
      </x:c>
      <x:c r="L22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23" ht="226.8000030517578" hidden="0" customHeight="1">
      <x:c r="A23" s="183" t="n">
        <x:v>2025</x:v>
      </x:c>
      <x:c r="B23" s="184" t="str">
        <x:v>broad_inhalation_proxy</x:v>
      </x:c>
      <x:c r="C23" s="184" t="str">
        <x:v>85434000+24041200+24041910+24041990</x:v>
      </x:c>
      <x:c r="D23" s="184" t="str">
        <x:v>import</x:v>
      </x:c>
      <x:c r="E23" s="184" t="n">
        <x:v>2</x:v>
      </x:c>
      <x:c r="F23" s="184" t="str">
        <x:v>HR</x:v>
      </x:c>
      <x:c r="G23" s="184" t="str">
        <x:v>Croatia</x:v>
      </x:c>
      <x:c r="H23" s="184" t="str">
        <x:v>intra-EU country of consignment</x:v>
      </x:c>
      <x:c r="I23" s="255" t="n">
        <x:v>3917406</x:v>
      </x:c>
      <x:c r="J23" s="252" t="n">
        <x:v>0.25813547</x:v>
      </x:c>
      <x:c r="K23" s="184" t="str">
        <x:v>intra-EU import partner is consignment country, not necessarily origin; export partner is destination</x:v>
      </x:c>
      <x:c r="L23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24" ht="226.8000030517578" hidden="0" customHeight="1">
      <x:c r="A24" s="183" t="n">
        <x:v>2025</x:v>
      </x:c>
      <x:c r="B24" s="184" t="str">
        <x:v>broad_inhalation_proxy</x:v>
      </x:c>
      <x:c r="C24" s="184" t="str">
        <x:v>85434000+24041200+24041910+24041990</x:v>
      </x:c>
      <x:c r="D24" s="184" t="str">
        <x:v>import</x:v>
      </x:c>
      <x:c r="E24" s="184" t="n">
        <x:v>3</x:v>
      </x:c>
      <x:c r="F24" s="184" t="str">
        <x:v>PL</x:v>
      </x:c>
      <x:c r="G24" s="184" t="str">
        <x:v>Poland</x:v>
      </x:c>
      <x:c r="H24" s="184" t="str">
        <x:v>intra-EU country of consignment</x:v>
      </x:c>
      <x:c r="I24" s="255" t="n">
        <x:v>2456226</x:v>
      </x:c>
      <x:c r="J24" s="252" t="n">
        <x:v>0.16185175999999998</x:v>
      </x:c>
      <x:c r="K24" s="184" t="str">
        <x:v>intra-EU import partner is consignment country, not necessarily origin; export partner is destination</x:v>
      </x:c>
      <x:c r="L24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25" ht="226.8000030517578" hidden="0" customHeight="1">
      <x:c r="A25" s="183" t="n">
        <x:v>2025</x:v>
      </x:c>
      <x:c r="B25" s="184" t="str">
        <x:v>broad_inhalation_proxy</x:v>
      </x:c>
      <x:c r="C25" s="184" t="str">
        <x:v>85434000+24041200+24041910+24041990</x:v>
      </x:c>
      <x:c r="D25" s="184" t="str">
        <x:v>import</x:v>
      </x:c>
      <x:c r="E25" s="184" t="n">
        <x:v>4</x:v>
      </x:c>
      <x:c r="F25" s="184" t="str">
        <x:v>DE</x:v>
      </x:c>
      <x:c r="G25" s="184" t="str">
        <x:v>Germany (incl. German Democratic Republic 'DD' from 1991)</x:v>
      </x:c>
      <x:c r="H25" s="184" t="str">
        <x:v>intra-EU country of consignment</x:v>
      </x:c>
      <x:c r="I25" s="255" t="n">
        <x:v>872221</x:v>
      </x:c>
      <x:c r="J25" s="252" t="n">
        <x:v>0.057474559999999994</x:v>
      </x:c>
      <x:c r="K25" s="184" t="str">
        <x:v>intra-EU import partner is consignment country, not necessarily origin; export partner is destination</x:v>
      </x:c>
      <x:c r="L25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26" ht="226.8000030517578" hidden="0" customHeight="1">
      <x:c r="A26" s="183" t="n">
        <x:v>2025</x:v>
      </x:c>
      <x:c r="B26" s="184" t="str">
        <x:v>broad_inhalation_proxy</x:v>
      </x:c>
      <x:c r="C26" s="184" t="str">
        <x:v>85434000+24041200+24041910+24041990</x:v>
      </x:c>
      <x:c r="D26" s="184" t="str">
        <x:v>import</x:v>
      </x:c>
      <x:c r="E26" s="184" t="n">
        <x:v>5</x:v>
      </x:c>
      <x:c r="F26" s="184" t="str">
        <x:v>FR</x:v>
      </x:c>
      <x:c r="G26" s="184" t="str">
        <x:v>France (incl. Saint Barthélemy 'BL' -&gt; 2012; incl. French Guiana 'GF', Guadeloupe 'GP', Martinique 'MQ', Réunion 'RE' from 1997; incl. Mayotte 'YT' from 2014)</x:v>
      </x:c>
      <x:c r="H26" s="184" t="str">
        <x:v>intra-EU country of consignment</x:v>
      </x:c>
      <x:c r="I26" s="255" t="n">
        <x:v>697558</x:v>
      </x:c>
      <x:c r="J26" s="252" t="n">
        <x:v>0.04596523</x:v>
      </x:c>
      <x:c r="K26" s="184" t="str">
        <x:v>intra-EU import partner is consignment country, not necessarily origin; export partner is destination</x:v>
      </x:c>
      <x:c r="L26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27" ht="226.8000030517578" hidden="0" customHeight="1">
      <x:c r="A27" s="183" t="n">
        <x:v>2025</x:v>
      </x:c>
      <x:c r="B27" s="184" t="str">
        <x:v>broad_inhalation_proxy</x:v>
      </x:c>
      <x:c r="C27" s="184" t="str">
        <x:v>85434000+24041200+24041910+24041990</x:v>
      </x:c>
      <x:c r="D27" s="184" t="str">
        <x:v>import</x:v>
      </x:c>
      <x:c r="E27" s="184" t="n">
        <x:v>6</x:v>
      </x:c>
      <x:c r="F27" s="184" t="str">
        <x:v>IT</x:v>
      </x:c>
      <x:c r="G27" s="184" t="str">
        <x:v>Italy (incl. San Marino 'SM' -&gt; 1993)</x:v>
      </x:c>
      <x:c r="H27" s="184" t="str">
        <x:v>intra-EU country of consignment</x:v>
      </x:c>
      <x:c r="I27" s="255" t="n">
        <x:v>316623</x:v>
      </x:c>
      <x:c r="J27" s="252" t="n">
        <x:v>0.02086371</x:v>
      </x:c>
      <x:c r="K27" s="184" t="str">
        <x:v>intra-EU import partner is consignment country, not necessarily origin; export partner is destination</x:v>
      </x:c>
      <x:c r="L27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28" ht="226.8000030517578" hidden="0" customHeight="1">
      <x:c r="A28" s="183" t="n">
        <x:v>2025</x:v>
      </x:c>
      <x:c r="B28" s="184" t="str">
        <x:v>broad_inhalation_proxy</x:v>
      </x:c>
      <x:c r="C28" s="184" t="str">
        <x:v>85434000+24041200+24041910+24041990</x:v>
      </x:c>
      <x:c r="D28" s="184" t="str">
        <x:v>import</x:v>
      </x:c>
      <x:c r="E28" s="184" t="n">
        <x:v>7</x:v>
      </x:c>
      <x:c r="F28" s="184" t="str">
        <x:v>GB</x:v>
      </x:c>
      <x:c r="G28" s="184" t="str">
        <x:v>United Kingdom</x:v>
      </x:c>
      <x:c r="H28" s="184" t="str">
        <x:v>extra-EU country of origin</x:v>
      </x:c>
      <x:c r="I28" s="255" t="n">
        <x:v>285750</x:v>
      </x:c>
      <x:c r="J28" s="252" t="n">
        <x:v>0.01882935</x:v>
      </x:c>
      <x:c r="K28" s="184" t="str">
        <x:v>intra-EU import partner is consignment country, not necessarily origin; export partner is destination</x:v>
      </x:c>
      <x:c r="L28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29" ht="226.8000030517578" hidden="0" customHeight="1">
      <x:c r="A29" s="183" t="n">
        <x:v>2025</x:v>
      </x:c>
      <x:c r="B29" s="184" t="str">
        <x:v>broad_inhalation_proxy</x:v>
      </x:c>
      <x:c r="C29" s="184" t="str">
        <x:v>85434000+24041200+24041910+24041990</x:v>
      </x:c>
      <x:c r="D29" s="184" t="str">
        <x:v>import</x:v>
      </x:c>
      <x:c r="E29" s="184" t="n">
        <x:v>8</x:v>
      </x:c>
      <x:c r="F29" s="184" t="str">
        <x:v>SE</x:v>
      </x:c>
      <x:c r="G29" s="184" t="str">
        <x:v>Sweden</x:v>
      </x:c>
      <x:c r="H29" s="184" t="str">
        <x:v>intra-EU country of consignment</x:v>
      </x:c>
      <x:c r="I29" s="255" t="n">
        <x:v>263117</x:v>
      </x:c>
      <x:c r="J29" s="252" t="n">
        <x:v>0.01733796</x:v>
      </x:c>
      <x:c r="K29" s="184" t="str">
        <x:v>intra-EU import partner is consignment country, not necessarily origin; export partner is destination</x:v>
      </x:c>
      <x:c r="L29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0" ht="226.8000030517578" hidden="0" customHeight="1">
      <x:c r="A30" s="183" t="n">
        <x:v>2025</x:v>
      </x:c>
      <x:c r="B30" s="184" t="str">
        <x:v>broad_inhalation_proxy</x:v>
      </x:c>
      <x:c r="C30" s="184" t="str">
        <x:v>85434000+24041200+24041910+24041990</x:v>
      </x:c>
      <x:c r="D30" s="184" t="str">
        <x:v>import</x:v>
      </x:c>
      <x:c r="E30" s="184" t="n">
        <x:v>9</x:v>
      </x:c>
      <x:c r="F30" s="184" t="str">
        <x:v>HK</x:v>
      </x:c>
      <x:c r="G30" s="184" t="str">
        <x:v>Hong Kong</x:v>
      </x:c>
      <x:c r="H30" s="184" t="str">
        <x:v>extra-EU country of origin</x:v>
      </x:c>
      <x:c r="I30" s="255" t="n">
        <x:v>122691</x:v>
      </x:c>
      <x:c r="J30" s="252" t="n">
        <x:v>0.00808466</x:v>
      </x:c>
      <x:c r="K30" s="184" t="str">
        <x:v>intra-EU import partner is consignment country, not necessarily origin; export partner is destination</x:v>
      </x:c>
      <x:c r="L30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1" ht="226.8000030517578" hidden="0" customHeight="1">
      <x:c r="A31" s="183" t="n">
        <x:v>2025</x:v>
      </x:c>
      <x:c r="B31" s="184" t="str">
        <x:v>broad_inhalation_proxy</x:v>
      </x:c>
      <x:c r="C31" s="184" t="str">
        <x:v>85434000+24041200+24041910+24041990</x:v>
      </x:c>
      <x:c r="D31" s="184" t="str">
        <x:v>import</x:v>
      </x:c>
      <x:c r="E31" s="184" t="n">
        <x:v>10</x:v>
      </x:c>
      <x:c r="F31" s="184" t="str">
        <x:v>MY</x:v>
      </x:c>
      <x:c r="G31" s="184" t="str">
        <x:v>Malaysia</x:v>
      </x:c>
      <x:c r="H31" s="184" t="str">
        <x:v>extra-EU country of origin</x:v>
      </x:c>
      <x:c r="I31" s="255" t="n">
        <x:v>108116</x:v>
      </x:c>
      <x:c r="J31" s="252" t="n">
        <x:v>0.0071242499999999995</x:v>
      </x:c>
      <x:c r="K31" s="184" t="str">
        <x:v>intra-EU import partner is consignment country, not necessarily origin; export partner is destination</x:v>
      </x:c>
      <x:c r="L31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2" ht="226.8000030517578" hidden="0" customHeight="1">
      <x:c r="A32" s="183" t="n">
        <x:v>2025</x:v>
      </x:c>
      <x:c r="B32" s="184" t="str">
        <x:v>broad_inhalation_proxy</x:v>
      </x:c>
      <x:c r="C32" s="184" t="str">
        <x:v>85434000+24041200+24041910+24041990</x:v>
      </x:c>
      <x:c r="D32" s="184" t="str">
        <x:v>export</x:v>
      </x:c>
      <x:c r="E32" s="184" t="n">
        <x:v>1</x:v>
      </x:c>
      <x:c r="F32" s="184" t="str">
        <x:v>NO</x:v>
      </x:c>
      <x:c r="G32" s="184" t="str">
        <x:v>Norway (incl. Svalbard and Jan Mayen 'SJ' -&gt; 1994 and again from 1997)</x:v>
      </x:c>
      <x:c r="H32" s="184" t="str">
        <x:v>country of destination</x:v>
      </x:c>
      <x:c r="I32" s="255" t="n">
        <x:v>408967</x:v>
      </x:c>
      <x:c r="J32" s="252" t="n">
        <x:v>0.42801271</x:v>
      </x:c>
      <x:c r="K32" s="184" t="str">
        <x:v>intra-EU import partner is consignment country, not necessarily origin; export partner is destination</x:v>
      </x:c>
      <x:c r="L32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3" ht="226.8000030517578" hidden="0" customHeight="1">
      <x:c r="A33" s="183" t="n">
        <x:v>2025</x:v>
      </x:c>
      <x:c r="B33" s="184" t="str">
        <x:v>broad_inhalation_proxy</x:v>
      </x:c>
      <x:c r="C33" s="184" t="str">
        <x:v>85434000+24041200+24041910+24041990</x:v>
      </x:c>
      <x:c r="D33" s="184" t="str">
        <x:v>export</x:v>
      </x:c>
      <x:c r="E33" s="184" t="n">
        <x:v>2</x:v>
      </x:c>
      <x:c r="F33" s="184" t="str">
        <x:v>US</x:v>
      </x:c>
      <x:c r="G33" s="184" t="str">
        <x:v>United States (incl. Navassa Island (part of 'UM') from 1995 -&gt; 2000)</x:v>
      </x:c>
      <x:c r="H33" s="184" t="str">
        <x:v>country of destination</x:v>
      </x:c>
      <x:c r="I33" s="255" t="n">
        <x:v>284685</x:v>
      </x:c>
      <x:c r="J33" s="252" t="n">
        <x:v>0.29794286</x:v>
      </x:c>
      <x:c r="K33" s="184" t="str">
        <x:v>intra-EU import partner is consignment country, not necessarily origin; export partner is destination</x:v>
      </x:c>
      <x:c r="L33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4" ht="226.8000030517578" hidden="0" customHeight="1">
      <x:c r="A34" s="183" t="n">
        <x:v>2025</x:v>
      </x:c>
      <x:c r="B34" s="184" t="str">
        <x:v>broad_inhalation_proxy</x:v>
      </x:c>
      <x:c r="C34" s="184" t="str">
        <x:v>85434000+24041200+24041910+24041990</x:v>
      </x:c>
      <x:c r="D34" s="184" t="str">
        <x:v>export</x:v>
      </x:c>
      <x:c r="E34" s="184" t="n">
        <x:v>3</x:v>
      </x:c>
      <x:c r="F34" s="184" t="str">
        <x:v>MX</x:v>
      </x:c>
      <x:c r="G34" s="184" t="str">
        <x:v>Mexico</x:v>
      </x:c>
      <x:c r="H34" s="184" t="str">
        <x:v>country of destination</x:v>
      </x:c>
      <x:c r="I34" s="255" t="n">
        <x:v>56756</x:v>
      </x:c>
      <x:c r="J34" s="252" t="n">
        <x:v>0.059399139999999996</x:v>
      </x:c>
      <x:c r="K34" s="184" t="str">
        <x:v>intra-EU import partner is consignment country, not necessarily origin; export partner is destination</x:v>
      </x:c>
      <x:c r="L34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5" ht="226.8000030517578" hidden="0" customHeight="1">
      <x:c r="A35" s="183" t="n">
        <x:v>2025</x:v>
      </x:c>
      <x:c r="B35" s="184" t="str">
        <x:v>broad_inhalation_proxy</x:v>
      </x:c>
      <x:c r="C35" s="184" t="str">
        <x:v>85434000+24041200+24041910+24041990</x:v>
      </x:c>
      <x:c r="D35" s="184" t="str">
        <x:v>export</x:v>
      </x:c>
      <x:c r="E35" s="184" t="n">
        <x:v>4</x:v>
      </x:c>
      <x:c r="F35" s="184" t="str">
        <x:v>DE</x:v>
      </x:c>
      <x:c r="G35" s="184" t="str">
        <x:v>Germany (incl. German Democratic Republic 'DD' from 1991)</x:v>
      </x:c>
      <x:c r="H35" s="184" t="str">
        <x:v>country of destination</x:v>
      </x:c>
      <x:c r="I35" s="255" t="n">
        <x:v>39752</x:v>
      </x:c>
      <x:c r="J35" s="252" t="n">
        <x:v>0.04160326</x:v>
      </x:c>
      <x:c r="K35" s="184" t="str">
        <x:v>intra-EU import partner is consignment country, not necessarily origin; export partner is destination</x:v>
      </x:c>
      <x:c r="L35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6" ht="226.8000030517578" hidden="0" customHeight="1">
      <x:c r="A36" s="183" t="n">
        <x:v>2025</x:v>
      </x:c>
      <x:c r="B36" s="184" t="str">
        <x:v>broad_inhalation_proxy</x:v>
      </x:c>
      <x:c r="C36" s="184" t="str">
        <x:v>85434000+24041200+24041910+24041990</x:v>
      </x:c>
      <x:c r="D36" s="184" t="str">
        <x:v>export</x:v>
      </x:c>
      <x:c r="E36" s="184" t="n">
        <x:v>5</x:v>
      </x:c>
      <x:c r="F36" s="184" t="str">
        <x:v>AE</x:v>
      </x:c>
      <x:c r="G36" s="184" t="str">
        <x:v>United Arab Emirates</x:v>
      </x:c>
      <x:c r="H36" s="184" t="str">
        <x:v>country of destination</x:v>
      </x:c>
      <x:c r="I36" s="255" t="n">
        <x:v>28127</x:v>
      </x:c>
      <x:c r="J36" s="252" t="n">
        <x:v>0.02943688</x:v>
      </x:c>
      <x:c r="K36" s="184" t="str">
        <x:v>intra-EU import partner is consignment country, not necessarily origin; export partner is destination</x:v>
      </x:c>
      <x:c r="L36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7" ht="226.8000030517578" hidden="0" customHeight="1">
      <x:c r="A37" s="183" t="n">
        <x:v>2025</x:v>
      </x:c>
      <x:c r="B37" s="184" t="str">
        <x:v>broad_inhalation_proxy</x:v>
      </x:c>
      <x:c r="C37" s="184" t="str">
        <x:v>85434000+24041200+24041910+24041990</x:v>
      </x:c>
      <x:c r="D37" s="184" t="str">
        <x:v>export</x:v>
      </x:c>
      <x:c r="E37" s="184" t="n">
        <x:v>6</x:v>
      </x:c>
      <x:c r="F37" s="184" t="str">
        <x:v>GL</x:v>
      </x:c>
      <x:c r="G37" s="184" t="str">
        <x:v>Greenland</x:v>
      </x:c>
      <x:c r="H37" s="184" t="str">
        <x:v>country of destination</x:v>
      </x:c>
      <x:c r="I37" s="255" t="n">
        <x:v>22258</x:v>
      </x:c>
      <x:c r="J37" s="252" t="n">
        <x:v>0.02329456</x:v>
      </x:c>
      <x:c r="K37" s="184" t="str">
        <x:v>intra-EU import partner is consignment country, not necessarily origin; export partner is destination</x:v>
      </x:c>
      <x:c r="L37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8" ht="226.8000030517578" hidden="0" customHeight="1">
      <x:c r="A38" s="183" t="n">
        <x:v>2025</x:v>
      </x:c>
      <x:c r="B38" s="184" t="str">
        <x:v>broad_inhalation_proxy</x:v>
      </x:c>
      <x:c r="C38" s="184" t="str">
        <x:v>85434000+24041200+24041910+24041990</x:v>
      </x:c>
      <x:c r="D38" s="184" t="str">
        <x:v>export</x:v>
      </x:c>
      <x:c r="E38" s="184" t="n">
        <x:v>7</x:v>
      </x:c>
      <x:c r="F38" s="184" t="str">
        <x:v>BG</x:v>
      </x:c>
      <x:c r="G38" s="184" t="str">
        <x:v>Bulgaria</x:v>
      </x:c>
      <x:c r="H38" s="184" t="str">
        <x:v>country of destination</x:v>
      </x:c>
      <x:c r="I38" s="255" t="n">
        <x:v>20711</x:v>
      </x:c>
      <x:c r="J38" s="252" t="n">
        <x:v>0.02167552</x:v>
      </x:c>
      <x:c r="K38" s="184" t="str">
        <x:v>intra-EU import partner is consignment country, not necessarily origin; export partner is destination</x:v>
      </x:c>
      <x:c r="L38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39" ht="226.8000030517578" hidden="0" customHeight="1">
      <x:c r="A39" s="183" t="n">
        <x:v>2025</x:v>
      </x:c>
      <x:c r="B39" s="184" t="str">
        <x:v>broad_inhalation_proxy</x:v>
      </x:c>
      <x:c r="C39" s="184" t="str">
        <x:v>85434000+24041200+24041910+24041990</x:v>
      </x:c>
      <x:c r="D39" s="184" t="str">
        <x:v>export</x:v>
      </x:c>
      <x:c r="E39" s="184" t="n">
        <x:v>8</x:v>
      </x:c>
      <x:c r="F39" s="184" t="str">
        <x:v>FI</x:v>
      </x:c>
      <x:c r="G39" s="184" t="str">
        <x:v>Finland</x:v>
      </x:c>
      <x:c r="H39" s="184" t="str">
        <x:v>country of destination</x:v>
      </x:c>
      <x:c r="I39" s="255" t="n">
        <x:v>18483</x:v>
      </x:c>
      <x:c r="J39" s="252" t="n">
        <x:v>0.01934376</x:v>
      </x:c>
      <x:c r="K39" s="184" t="str">
        <x:v>intra-EU import partner is consignment country, not necessarily origin; export partner is destination</x:v>
      </x:c>
      <x:c r="L39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40" ht="226.8000030517578" hidden="0" customHeight="1">
      <x:c r="A40" s="183" t="n">
        <x:v>2025</x:v>
      </x:c>
      <x:c r="B40" s="184" t="str">
        <x:v>broad_inhalation_proxy</x:v>
      </x:c>
      <x:c r="C40" s="184" t="str">
        <x:v>85434000+24041200+24041910+24041990</x:v>
      </x:c>
      <x:c r="D40" s="184" t="str">
        <x:v>export</x:v>
      </x:c>
      <x:c r="E40" s="184" t="n">
        <x:v>9</x:v>
      </x:c>
      <x:c r="F40" s="184" t="str">
        <x:v>SE</x:v>
      </x:c>
      <x:c r="G40" s="184" t="str">
        <x:v>Sweden</x:v>
      </x:c>
      <x:c r="H40" s="184" t="str">
        <x:v>country of destination</x:v>
      </x:c>
      <x:c r="I40" s="255" t="n">
        <x:v>18046</x:v>
      </x:c>
      <x:c r="J40" s="252" t="n">
        <x:v>0.01888641</x:v>
      </x:c>
      <x:c r="K40" s="184" t="str">
        <x:v>intra-EU import partner is consignment country, not necessarily origin; export partner is destination</x:v>
      </x:c>
      <x:c r="L40" s="185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  <x:row r="41" ht="226.8000030517578" hidden="0" customHeight="1">
      <x:c r="A41" s="186" t="n">
        <x:v>2025</x:v>
      </x:c>
      <x:c r="B41" s="187" t="str">
        <x:v>broad_inhalation_proxy</x:v>
      </x:c>
      <x:c r="C41" s="187" t="str">
        <x:v>85434000+24041200+24041910+24041990</x:v>
      </x:c>
      <x:c r="D41" s="187" t="str">
        <x:v>export</x:v>
      </x:c>
      <x:c r="E41" s="187" t="n">
        <x:v>10</x:v>
      </x:c>
      <x:c r="F41" s="187" t="str">
        <x:v>GB</x:v>
      </x:c>
      <x:c r="G41" s="187" t="str">
        <x:v>United Kingdom</x:v>
      </x:c>
      <x:c r="H41" s="187" t="str">
        <x:v>country of destination</x:v>
      </x:c>
      <x:c r="I41" s="256" t="n">
        <x:v>14711</x:v>
      </x:c>
      <x:c r="J41" s="200" t="n">
        <x:v>0.0153961</x:v>
      </x:c>
      <x:c r="K41" s="187" t="str">
        <x:v>intra-EU import partner is consignment country, not necessarily origin; export partner is destination</x:v>
      </x:c>
      <x:c r="L41" s="188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6" hidden="0" customWidth="1"/>
    <x:col min="5" max="5" width="56" hidden="0" customWidth="1"/>
    <x:col min="6" max="6" width="56" hidden="0" customWidth="1"/>
    <x:col min="7" max="7" width="56" hidden="0" customWidth="1"/>
    <x:col min="8" max="8" width="56" hidden="0" customWidth="1"/>
    <x:col min="9" max="9" width="56" hidden="0" customWidth="1"/>
  </x:cols>
  <x:sheetData>
    <x:row r="1" ht="26.399999618530273" hidden="0" customHeight="1">
      <x:c r="A1" s="158" t="str">
        <x:v>evidence_id</x:v>
      </x:c>
      <x:c r="B1" s="159" t="str">
        <x:v>topic</x:v>
      </x:c>
      <x:c r="C1" s="159" t="str">
        <x:v>source_tier</x:v>
      </x:c>
      <x:c r="D1" s="159" t="str">
        <x:v>source</x:v>
      </x:c>
      <x:c r="E1" s="159" t="str">
        <x:v>original_measure</x:v>
      </x:c>
      <x:c r="F1" s="159" t="str">
        <x:v>transformation</x:v>
      </x:c>
      <x:c r="G1" s="159" t="str">
        <x:v>audit_result</x:v>
      </x:c>
      <x:c r="H1" s="159" t="str">
        <x:v>limitation</x:v>
      </x:c>
      <x:c r="I1" s="160" t="str">
        <x:v>source_url</x:v>
      </x:c>
    </x:row>
    <x:row r="2" ht="86.4000015258789" hidden="0" customHeight="1">
      <x:c r="A2" s="180" t="str">
        <x:v>DK-A1</x:v>
      </x:c>
      <x:c r="B2" s="181" t="str">
        <x:v>current tax rate</x:v>
      </x:c>
      <x:c r="C2" s="181" t="str">
        <x:v>A</x:v>
      </x:c>
      <x:c r="D2" s="181" t="str">
        <x:v>Danish Ministry of Taxation and Economic Growth</x:v>
      </x:c>
      <x:c r="E2" s="181" t="str">
        <x:v>DKK/ml by nicotine strength for 2026-2027</x:v>
      </x:c>
      <x:c r="F2" s="181" t="str">
        <x:v>multiply by 1,000 for DKK/litre presentation</x:v>
      </x:c>
      <x:c r="G2" s="181" t="str">
        <x:v>DKK 1.50/ml up to 12 mg/ml and DKK 2.50/ml above 12 mg/ml</x:v>
      </x:c>
      <x:c r="H2" s="181" t="str">
        <x:v>tax applies to nicotine-containing liquids; legal exemptions remain</x:v>
      </x:c>
      <x:c r="I2" s="182" t="str">
        <x:v>https://skm.dk/tal-og-metode/satser/satser-og-beloebsgraenser-i-lovgivningen/forbrugsafgiftsloven</x:v>
      </x:c>
    </x:row>
    <x:row r="3" ht="97.19999694824219" hidden="0" customHeight="1">
      <x:c r="A3" s="183" t="str">
        <x:v>DK-A2</x:v>
      </x:c>
      <x:c r="B3" s="184" t="str">
        <x:v>e-liquid revenue forecast</x:v>
      </x:c>
      <x:c r="C3" s="184" t="str">
        <x:v>A</x:v>
      </x:c>
      <x:c r="D3" s="184" t="str">
        <x:v>Folketinget SAU answer 678, table 2</x:v>
      </x:c>
      <x:c r="E3" s="184" t="str">
        <x:v>2025 annual revenue under current rules, DKK million</x:v>
      </x:c>
      <x:c r="F3" s="184" t="str">
        <x:v>DKK 90m treated as a forecast rounded to nearest DKK 5m</x:v>
      </x:c>
      <x:c r="G3" s="184" t="str">
        <x:v>implied rate-only point interval 36,000-60,000 litres; rounding envelope 35,000-61,666.7 litres</x:v>
      </x:c>
      <x:c r="H3" s="184" t="str">
        <x:v>forecast, not actual accounts; unknown strength mix</x:v>
      </x:c>
      <x:c r="I3" s="185" t="str">
        <x:v>https://www.ft.dk/samling/20231/almdel/sau/spm/678/svar/2074316/2914215.pdf</x:v>
      </x:c>
    </x:row>
    <x:row r="4" ht="97.19999694824219" hidden="0" customHeight="1">
      <x:c r="A4" s="183" t="str">
        <x:v>DK-A3</x:v>
      </x:c>
      <x:c r="B4" s="184" t="str">
        <x:v>booked combined revenue</x:v>
      </x:c>
      <x:c r="C4" s="184" t="str">
        <x:v>A</x:v>
      </x:c>
      <x:c r="D4" s="184" t="str">
        <x:v>Ministry 2025 revenue-list workbook and December PDF</x:v>
      </x:c>
      <x:c r="E4" s="184" t="str">
        <x:v>monthly booked revenue in DKK thousand for nicotine products and liquids combined</x:v>
      </x:c>
      <x:c r="F4" s="184" t="str">
        <x:v>multiply workbook values by 1,000; sum monthly values and tie to FY cell</x:v>
      </x:c>
      <x:c r="G4" s="184" t="str">
        <x:v>2024 DKK 548,495,746.05; 2025 DKK 789,133,262.53; monthly sums tie exactly</x:v>
      </x:c>
      <x:c r="H4" s="184" t="str">
        <x:v>public account does not separate nicotine pouches/products from nicotine liquids</x:v>
      </x:c>
      <x:c r="I4" s="185" t="str">
        <x:v>https://skm.dk/media/nd0bwgno/indtaegtsliste-2025.xlsx</x:v>
      </x:c>
    </x:row>
    <x:row r="5" ht="86.4000015258789" hidden="0" customHeight="1">
      <x:c r="A5" s="183" t="str">
        <x:v>DK-A4</x:v>
      </x:c>
      <x:c r="B5" s="184" t="str">
        <x:v>annual sales reporting universe</x:v>
      </x:c>
      <x:c r="C5" s="184" t="str">
        <x:v>A</x:v>
      </x:c>
      <x:c r="D5" s="184" t="str">
        <x:v>Erhvervsstyrelsen/Sikkerhedsstyrelsen and Danish reporting order</x:v>
      </x:c>
      <x:c r="E5" s="184" t="str">
        <x:v>annual sales volume by trade name and product type, Danish market, due by 1 April</x:v>
      </x:c>
      <x:c r="F5" s="184" t="str">
        <x:v>none; defines request universe and requested completeness fields</x:v>
      </x:c>
      <x:c r="G5" s="184" t="str">
        <x:v>legal annual national reporting duty and EU-CEG route confirmed</x:v>
      </x:c>
      <x:c r="H5" s="184" t="str">
        <x:v>no public national sales aggregate or expected/received submission counts found</x:v>
      </x:c>
      <x:c r="I5" s="185" t="str">
        <x:v>https://www.sik.dk/en/node/355</x:v>
      </x:c>
    </x:row>
    <x:row r="6" ht="86.4000015258789" hidden="0" customHeight="1">
      <x:c r="A6" s="183" t="str">
        <x:v>DK-A5</x:v>
      </x:c>
      <x:c r="B6" s="184" t="str">
        <x:v>registered-product universe</x:v>
      </x:c>
      <x:c r="C6" s="184" t="str">
        <x:v>A</x:v>
      </x:c>
      <x:c r="D6" s="184" t="str">
        <x:v>Erhvervsstyrelsen live e-cigarette registry CSV</x:v>
      </x:c>
      <x:c r="E6" s="184" t="str">
        <x:v>product rows, type, EC-ID, reporter and report date</x:v>
      </x:c>
      <x:c r="F6" s="184" t="str">
        <x:v>count rows, unique product IDs and reporting entities by product type</x:v>
      </x:c>
      <x:c r="G6" s="184" t="str">
        <x:v>1,198 rows; 545 unique IDs; 18 reporters</x:v>
      </x:c>
      <x:c r="H6" s="184" t="str">
        <x:v>registration does not prove active marketing, annual reporting completeness or sell-out</x:v>
      </x:c>
      <x:c r="I6" s="185" t="str">
        <x:v>https://www.sik.dk/registre/file/register_over_e_cigaretter_new</x:v>
      </x:c>
    </x:row>
    <x:row r="7" ht="86.4000015258789" hidden="0" customHeight="1">
      <x:c r="A7" s="183" t="str">
        <x:v>DK-A6</x:v>
      </x:c>
      <x:c r="B7" s="184" t="str">
        <x:v>tax-control hit rate</x:v>
      </x:c>
      <x:c r="C7" s="184" t="str">
        <x:v>A</x:v>
      </x:c>
      <x:c r="D7" s="184" t="str">
        <x:v>Skattestyrelsen tobacco and nicotine controls publication</x:v>
      </x:c>
      <x:c r="E7" s="184" t="str">
        <x:v>control counts by type and average hit rate, 2020-2024</x:v>
      </x:c>
      <x:c r="F7" s="184" t="str">
        <x:v>sum displayed counts; calculate 2024 nicotine share of displayed controls</x:v>
      </x:c>
      <x:c r="G7" s="184" t="str">
        <x:v>3,326 displayed controls; 70% average hit rate; 929 nicotine controls in 2024</x:v>
      </x:c>
      <x:c r="H7" s="184" t="str">
        <x:v>risk- and materiality-selected controls; not a random market sample</x:v>
      </x:c>
      <x:c r="I7" s="185" t="str">
        <x:v>https://www.ft.dk/samling/20241/almdel/SAU/bilag/220/3018939.pdf</x:v>
      </x:c>
    </x:row>
    <x:row r="8" ht="356.3999938964844" hidden="0" customHeight="1">
      <x:c r="A8" s="183" t="str">
        <x:v>DK-A7</x:v>
      </x:c>
      <x:c r="B8" s="184" t="str">
        <x:v>customs route</x:v>
      </x:c>
      <x:c r="C8" s="184" t="str">
        <x:v>A</x:v>
      </x:c>
      <x:c r="D8" s="184" t="str">
        <x:v>Eurostat Comext DS-045409</x:v>
      </x:c>
      <x:c r="E8" s="184" t="str">
        <x:v>2025 import/export value by CN8, flow and partner group/country</x:v>
      </x:c>
      <x:c r="F8" s="184" t="str">
        <x:v>sum products by narrow/broad scope and subtract exports from imports</x:v>
      </x:c>
      <x:c r="G8" s="184" t="str">
        <x:v>narrow border net EUR 13,481,027; route groups reconcile</x:v>
      </x:c>
      <x:c r="H8" s="184" t="str">
        <x:v>customs value is not retail sell-out; intra-EU import partner is consignment country</x:v>
      </x:c>
      <x:c r="I8" s="185" t="str">
        <x:v>https://ec.europa.eu/eurostat/api/comext/dissemination/statistics/1.0/data/DS-045409?freq=A&amp;reporter=DK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</x:row>
    <x:row r="9" ht="86.4000015258789" hidden="0" customHeight="1">
      <x:c r="A9" s="186" t="str">
        <x:v>DK-B1</x:v>
      </x:c>
      <x:c r="B9" s="187" t="str">
        <x:v>retail price sensitivity</x:v>
      </x:c>
      <x:c r="C9" s="187" t="str">
        <x:v>B</x:v>
      </x:c>
      <x:c r="D9" s="187" t="str">
        <x:v>WHO 2025 Denmark country profile page 9</x:v>
      </x:c>
      <x:c r="E9" s="187" t="str">
        <x:v>cheapest-brand prices by e-liquid format</x:v>
      </x:c>
      <x:c r="F9" s="187" t="str">
        <x:v>combine DKK 52/10ml with forecast-implied volume and +/-20% price cases</x:v>
      </x:c>
      <x:c r="G9" s="187" t="str">
        <x:v>forecast-conditioned sensitivity DKK 145.6m-384.8m; central DKK 234.0m</x:v>
      </x:c>
      <x:c r="H9" s="187" t="str">
        <x:v>not sales-weighted, not actual volume and not official market size</x:v>
      </x:c>
      <x:c r="I9" s="188" t="str">
        <x:v>https://cdn.who.int/media/docs/default-source/country-profiles/tobacco/gtrc-2025/tobacco-2025-dnk.pdf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42" hidden="0" customWidth="1"/>
    <x:col min="3" max="3" width="16" hidden="0" customWidth="1"/>
    <x:col min="4" max="4" width="68" hidden="0" customWidth="1"/>
    <x:col min="5" max="5" width="58" hidden="0" customWidth="1"/>
  </x:cols>
  <x:sheetData>
    <x:row r="1" ht="26.399999618530273" hidden="0" customHeight="1">
      <x:c r="A1" s="158" t="str">
        <x:v>Source file</x:v>
      </x:c>
      <x:c r="B1" s="159" t="str">
        <x:v>SHA-256</x:v>
      </x:c>
      <x:c r="C1" s="159" t="str">
        <x:v>Bytes</x:v>
      </x:c>
      <x:c r="D1" s="159" t="str">
        <x:v>Primary URL</x:v>
      </x:c>
      <x:c r="E1" s="160" t="str">
        <x:v>Use / boundary</x:v>
      </x:c>
    </x:row>
    <x:row r="2" ht="86.4000015258789" hidden="0" customHeight="1">
      <x:c r="A2" s="180" t="str">
        <x:v>skm_current_excise_rates_2026.html</x:v>
      </x:c>
      <x:c r="B2" s="181" t="str">
        <x:v>83b8591709b27bab3c1c2e9fb119f2f6535baf04eb70d6201e73e5ba1deac0d9</x:v>
      </x:c>
      <x:c r="C2" s="181" t="n">
        <x:v>90179</x:v>
      </x:c>
      <x:c r="D2" s="181" t="str">
        <x:v>https://skm.dk/tal-og-metode/satser/satser-og-beloebsgraenser-i-lovgivningen/forbrugsafgiftsloven</x:v>
      </x:c>
      <x:c r="E2" s="182" t="str">
        <x:v>Official current rate and tax-band evidence.</x:v>
      </x:c>
    </x:row>
    <x:row r="3" ht="86.4000015258789" hidden="0" customHeight="1">
      <x:c r="A3" s="183" t="str">
        <x:v>skm_revenue_list_december_2025.pdf</x:v>
      </x:c>
      <x:c r="B3" s="184" t="str">
        <x:v>12ffe6b98090731a5ec03a01d7e67be6f41e8d4b5805ec32786d7d6e8d64e042</x:v>
      </x:c>
      <x:c r="C3" s="184" t="n">
        <x:v>404456</x:v>
      </x:c>
      <x:c r="D3" s="184" t="str">
        <x:v>https://skm.dk/media/ipypz1bi/indtaegtsliste-december-plus-supplement-webtilgaengelig-version.pdf</x:v>
      </x:c>
      <x:c r="E3" s="185" t="str">
        <x:v>Rounded official public revenue table for the combined nicotine-products-and-liquids account.</x:v>
      </x:c>
    </x:row>
    <x:row r="4" ht="75.5999984741211" hidden="0" customHeight="1">
      <x:c r="A4" s="183" t="str">
        <x:v>skm_revenue_list_2025.xlsx</x:v>
      </x:c>
      <x:c r="B4" s="184" t="str">
        <x:v>b61053c975f84094a7baebfd0a47b13456222c3287871de1a2ad3a49d8f2fcef</x:v>
      </x:c>
      <x:c r="C4" s="184" t="n">
        <x:v>396829</x:v>
      </x:c>
      <x:c r="D4" s="184" t="str">
        <x:v>https://skm.dk/media/nd0bwgno/indtaegtsliste-2025.xlsx</x:v>
      </x:c>
      <x:c r="E4" s="185" t="str">
        <x:v>Booked combined nicotine-products-and-liquids account; not e-liquid-only.</x:v>
      </x:c>
    </x:row>
    <x:row r="5" ht="86.4000015258789" hidden="0" customHeight="1">
      <x:c r="A5" s="183" t="str">
        <x:v>sik_detailed_annual_sales_reporting.html</x:v>
      </x:c>
      <x:c r="B5" s="184" t="str">
        <x:v>da245f93a2c701f3f975e2bd041a1c9031a3f47ac36492a02d04233d2179fcd1</x:v>
      </x:c>
      <x:c r="C5" s="184" t="n">
        <x:v>1013722</x:v>
      </x:c>
      <x:c r="D5" s="184" t="str">
        <x:v>https://www.sik.dk/en/node/355</x:v>
      </x:c>
      <x:c r="E5" s="185" t="str">
        <x:v>Proves annual Danish sales reporting duty; aggregate totals are not public.</x:v>
      </x:c>
    </x:row>
    <x:row r="6" ht="97.19999694824219" hidden="0" customHeight="1">
      <x:c r="A6" s="183" t="str">
        <x:v>sik_registered_products_page.html</x:v>
      </x:c>
      <x:c r="B6" s="184" t="str">
        <x:v>4aa9b3ee91b698586d8c56a147ac95e204d2739fca554443b0cf42497f2d991e</x:v>
      </x:c>
      <x:c r="C6" s="184" t="n">
        <x:v>1028695</x:v>
      </x:c>
      <x:c r="D6" s="184" t="str">
        <x:v>https://www.sik.dk/registre/register_over_e_cigaretter</x:v>
      </x:c>
      <x:c r="E6" s="185" t="str">
        <x:v>Public register interface; declarations are not sales, approval or completeness.</x:v>
      </x:c>
    </x:row>
    <x:row r="7" ht="75.5999984741211" hidden="0" customHeight="1">
      <x:c r="A7" s="183" t="str">
        <x:v>sik_registered_products_2026-07-17.csv</x:v>
      </x:c>
      <x:c r="B7" s="184" t="str">
        <x:v>e4e9667c242837b068299d1b95e3f70d4b9c3fbc68194240287b48e3844dce2f</x:v>
      </x:c>
      <x:c r="C7" s="184" t="n">
        <x:v>150322</x:v>
      </x:c>
      <x:c r="D7" s="184" t="str">
        <x:v>https://www.sik.dk/registre/file/register_over_e_cigaretter_new</x:v>
      </x:c>
      <x:c r="E7" s="185" t="str">
        <x:v>Product declarations, not sales, approval or completeness.</x:v>
      </x:c>
    </x:row>
    <x:row r="8" ht="75.5999984741211" hidden="0" customHeight="1">
      <x:c r="A8" s="183" t="str">
        <x:v>sik_contact.html</x:v>
      </x:c>
      <x:c r="B8" s="184" t="str">
        <x:v>00ea0230447020ddb82456bb5a4afd30335b6c27cf48fd350ee14823153179b9</x:v>
      </x:c>
      <x:c r="C8" s="184" t="n">
        <x:v>1009525</x:v>
      </x:c>
      <x:c r="D8" s="184" t="str">
        <x:v>https://www.sik.dk/kontakt/elektronisk-post</x:v>
      </x:c>
      <x:c r="E8" s="185" t="str">
        <x:v>Verifies dispatch route for PX-DK-001.</x:v>
      </x:c>
    </x:row>
    <x:row r="9" ht="64.80000305175781" hidden="0" customHeight="1">
      <x:c r="A9" s="183" t="str">
        <x:v>skm_contact.html</x:v>
      </x:c>
      <x:c r="B9" s="184" t="str">
        <x:v>fff1958df07c095e1d809ae5f28c208de1bf006cb9fd7e82a964f22f553d79e1</x:v>
      </x:c>
      <x:c r="C9" s="184" t="n">
        <x:v>94057</x:v>
      </x:c>
      <x:c r="D9" s="184" t="str">
        <x:v>https://skm.dk/kontakt</x:v>
      </x:c>
      <x:c r="E9" s="185" t="str">
        <x:v>Verifies public-information route for PX-DK-002.</x:v>
      </x:c>
    </x:row>
    <x:row r="10" ht="140.39999389648438" hidden="0" customHeight="1">
      <x:c r="A10" s="183" t="str">
        <x:v>skm_40000_puffbars_enforcement_2025.html</x:v>
      </x:c>
      <x:c r="B10" s="184" t="str">
        <x:v>1881f748f23fc49eefe0d00904949b189072bb1fea6265aab70ab4a22fbeeaa6</x:v>
      </x:c>
      <x:c r="C10" s="184" t="n">
        <x:v>93625</x:v>
      </x:c>
      <x:c r="D10" s="184" t="str">
        <x:v>https://skm.dk/aktuelt/presse-nyheder/pressemeddelelser/stoklund-efter-fund-af-40000-ulovlige-puff-bars-det-er-organiseret-svindel-og-en-haan-mod-faellesskabet</x:v>
      </x:c>
      <x:c r="E10" s="185" t="str">
        <x:v>Approximate single enforcement case; not market share or retail price.</x:v>
      </x:c>
    </x:row>
    <x:row r="11" ht="64.80000305175781" hidden="0" customHeight="1">
      <x:c r="A11" s="183" t="str">
        <x:v>danish_e_cigarette_act_2024.pdf</x:v>
      </x:c>
      <x:c r="B11" s="184" t="str">
        <x:v>3a46d45fb4d6c619f362467ad4868231617a9d7f6a96d94163cb876f5c2972c2</x:v>
      </x:c>
      <x:c r="C11" s="184" t="n">
        <x:v>218979</x:v>
      </x:c>
      <x:c r="D11" s="184" t="str">
        <x:v>https://www.retsinformation.dk/eli/lta/2024/1166/pdf</x:v>
      </x:c>
      <x:c r="E11" s="185" t="str">
        <x:v>Current statutory basis for annual sales reporting.</x:v>
      </x:c>
    </x:row>
    <x:row r="12" ht="86.4000015258789" hidden="0" customHeight="1">
      <x:c r="A12" s="183" t="str">
        <x:v>danish_euceg_reporting_order_2016.pdf</x:v>
      </x:c>
      <x:c r="B12" s="184" t="str">
        <x:v>ee62f8f13a343014690a3fc7bf7708a29ee3c8d3ef2fe830cf2f1a3eb5ec932e</x:v>
      </x:c>
      <x:c r="C12" s="184" t="n">
        <x:v>171278</x:v>
      </x:c>
      <x:c r="D12" s="184" t="str">
        <x:v>https://www.sik.dk/en/node/355</x:v>
      </x:c>
      <x:c r="E12" s="185" t="str">
        <x:v>Proves annual Danish sales reporting duty; aggregate totals are not public.</x:v>
      </x:c>
    </x:row>
    <x:row r="13" ht="86.4000015258789" hidden="0" customHeight="1">
      <x:c r="A13" s="183" t="str">
        <x:v>who_denmark_2025.pdf</x:v>
      </x:c>
      <x:c r="B13" s="184" t="str">
        <x:v>3953f7d3ca3cab35044f1fbbf6ee1db4428c2ca9e2d3af9c5458e347abadfdfc</x:v>
      </x:c>
      <x:c r="C13" s="184" t="n">
        <x:v>428286</x:v>
      </x:c>
      <x:c r="D13" s="184" t="str">
        <x:v>https://cdn.who.int/media/docs/default-source/country-profiles/tobacco/gtrc-2025/tobacco-2025-dnk.pdf</x:v>
      </x:c>
      <x:c r="E13" s="185" t="str">
        <x:v>B-tier cheapest-brand price snapshot used only for stress testing.</x:v>
      </x:c>
    </x:row>
    <x:row r="14" ht="356.3999938964844" hidden="0" customHeight="1">
      <x:c r="A14" s="183" t="str">
        <x:v>eurostat_denmark_cn8_route_2025.json</x:v>
      </x:c>
      <x:c r="B14" s="184" t="str">
        <x:v>1d58c945ac471115792242d01e91f32ac2135dc33a9f8312193edc86fd35f0b9</x:v>
      </x:c>
      <x:c r="C14" s="184" t="n">
        <x:v>3030</x:v>
      </x:c>
      <x:c r="D14" s="184" t="str">
        <x:v>https://ec.europa.eu/eurostat/api/comext/dissemination/statistics/1.0/data/DS-045409?freq=A&amp;reporter=DK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E14" s="185" t="str">
        <x:v>Border trade and route groups; not consumer sell-out.</x:v>
      </x:c>
    </x:row>
    <x:row r="15" ht="226.8000030517578" hidden="0" customHeight="1">
      <x:c r="A15" s="183" t="str">
        <x:v>eurostat_denmark_cn8_partners_2025.json</x:v>
      </x:c>
      <x:c r="B15" s="184" t="str">
        <x:v>fe9bb0d5514f18a8b10980006eec6d12406ac8c3d779cd2f133d3924f98b0f89</x:v>
      </x:c>
      <x:c r="C15" s="184" t="n">
        <x:v>14991</x:v>
      </x:c>
      <x:c r="D15" s="184" t="str">
        <x:v>https://ec.europa.eu/eurostat/api/comext/dissemination/statistics/1.0/data/DS-045409?freq=A&amp;reporter=DK&amp;product=85434000&amp;product=24041200&amp;product=24041910&amp;product=24041990&amp;flow=1&amp;flow=2&amp;indicators=VALUE_IN_EUROS&amp;time=2025&amp;lang=en</x:v>
      </x:c>
      <x:c r="E15" s="185" t="str">
        <x:v>Origin/consignment partner audit; routing can mask production origin.</x:v>
      </x:c>
    </x:row>
    <x:row r="16" ht="75.5999984741211" hidden="0" customHeight="1">
      <x:c r="A16" s="183" t="str">
        <x:v>Folketinget SAU answer 678 PDF (browser-verified; download blocked)</x:v>
      </x:c>
      <x:c r="B16" s="184" t="str">
        <x:v>not locally preserved - HTTP 403</x:v>
      </x:c>
      <x:c r="C16" s="184"/>
      <x:c r="D16" s="184" t="str">
        <x:v>https://www.ft.dk/samling/20231/almdel/sau/spm/678/svar/2074316/2914215.pdf</x:v>
      </x:c>
      <x:c r="E16" s="185" t="str">
        <x:v>Official DKK 90m e-liquid forecast, nearest DKK 5m; not actual.</x:v>
      </x:c>
    </x:row>
    <x:row r="17" ht="86.4000015258789" hidden="0" customHeight="1">
      <x:c r="A17" s="186" t="str">
        <x:v>Folketinget controls publication PDF (browser-verified; download blocked)</x:v>
      </x:c>
      <x:c r="B17" s="187" t="str">
        <x:v>not locally preserved - HTTP 403</x:v>
      </x:c>
      <x:c r="C17" s="187"/>
      <x:c r="D17" s="187" t="str">
        <x:v>https://www.ft.dk/samling/20241/almdel/SAU/bilag/220/3018939.pdf</x:v>
      </x:c>
      <x:c r="E17" s="188" t="str">
        <x:v>Risk-selected controls and 70% average hit rate; not population prevalence.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52" hidden="0" customWidth="1"/>
    <x:col min="4" max="4" width="52" hidden="0" customWidth="1"/>
    <x:col min="5" max="5" width="28" hidden="0" customWidth="1"/>
  </x:cols>
  <x:sheetData>
    <x:row r="1" ht="26.399999618530273" hidden="0" customHeight="1">
      <x:c r="A1" s="158" t="str">
        <x:v>Priority</x:v>
      </x:c>
      <x:c r="B1" s="159" t="str">
        <x:v>Missing aggregate</x:v>
      </x:c>
      <x:c r="C1" s="159" t="str">
        <x:v>Why it matters</x:v>
      </x:c>
      <x:c r="D1" s="159" t="str">
        <x:v>Acquisition route</x:v>
      </x:c>
      <x:c r="E1" s="160" t="str">
        <x:v>Status</x:v>
      </x:c>
    </x:row>
    <x:row r="2" ht="54" hidden="0" customHeight="1">
      <x:c r="A2" s="180" t="str">
        <x:v>P1</x:v>
      </x:c>
      <x:c r="B2" s="181" t="str">
        <x:v>2021-2025 annual EU-CEG units and liquid ml</x:v>
      </x:c>
      <x:c r="C2" s="181" t="str">
        <x:v>Closest official route to legal product-level sales</x:v>
      </x:c>
      <x:c r="D2" s="181" t="str">
        <x:v>PX-DK-001 to Danish Business Authority</x:v>
      </x:c>
      <x:c r="E2" s="182" t="str">
        <x:v>READY FOR CONFIRMATION</x:v>
      </x:c>
    </x:row>
    <x:row r="3" ht="64.80000305175781" hidden="0" customHeight="1">
      <x:c r="A3" s="183" t="str">
        <x:v>P1</x:v>
      </x:c>
      <x:c r="B3" s="184" t="str">
        <x:v>EU-CEG reporting completeness and corrections</x:v>
      </x:c>
      <x:c r="C3" s="184" t="str">
        <x:v>Required to audit coverage and calculate a defensible data hit rate</x:v>
      </x:c>
      <x:c r="D3" s="184" t="str">
        <x:v>PX-DK-001 to Danish Business Authority</x:v>
      </x:c>
      <x:c r="E3" s="185" t="str">
        <x:v>READY FOR CONFIRMATION</x:v>
      </x:c>
    </x:row>
    <x:row r="4" ht="75.5999984741211" hidden="0" customHeight="1">
      <x:c r="A4" s="183" t="str">
        <x:v>P1</x:v>
      </x:c>
      <x:c r="B4" s="184" t="str">
        <x:v>2022-2025 taxable e-liquid ml by strength</x:v>
      </x:c>
      <x:c r="C4" s="184" t="str">
        <x:v>Replaces forecast-derived litres with observed taxable bases</x:v>
      </x:c>
      <x:c r="D4" s="184" t="str">
        <x:v>PX-DK-002 to Ministry of Taxation</x:v>
      </x:c>
      <x:c r="E4" s="185" t="str">
        <x:v>READY FOR CONFIRMATION</x:v>
      </x:c>
    </x:row>
    <x:row r="5" ht="64.80000305175781" hidden="0" customHeight="1">
      <x:c r="A5" s="183" t="str">
        <x:v>P1</x:v>
      </x:c>
      <x:c r="B5" s="184" t="str">
        <x:v>Separate e-liquid actual net revenue</x:v>
      </x:c>
      <x:c r="C5" s="184" t="str">
        <x:v>Separates liquid from the combined nicotine-products account</x:v>
      </x:c>
      <x:c r="D5" s="184" t="str">
        <x:v>PX-DK-002 to Ministry of Taxation</x:v>
      </x:c>
      <x:c r="E5" s="185" t="str">
        <x:v>READY FOR CONFIRMATION</x:v>
      </x:c>
    </x:row>
    <x:row r="6" ht="75.5999984741211" hidden="0" customHeight="1">
      <x:c r="A6" s="183" t="str">
        <x:v>P2</x:v>
      </x:c>
      <x:c r="B6" s="184" t="str">
        <x:v>Sales-weighted retail prices by format</x:v>
      </x:c>
      <x:c r="C6" s="184" t="str">
        <x:v>Converts official volume into a defensible legal retail-value range</x:v>
      </x:c>
      <x:c r="D6" s="184" t="str">
        <x:v>Statistics Denmark CPI microdata or licensed sell-out panel</x:v>
      </x:c>
      <x:c r="E6" s="185" t="str">
        <x:v>NOT OBTAINED</x:v>
      </x:c>
    </x:row>
    <x:row r="7" ht="54" hidden="0" customHeight="1">
      <x:c r="A7" s="183" t="str">
        <x:v>P2</x:v>
      </x:c>
      <x:c r="B7" s="184" t="str">
        <x:v>Device units and consumer value</x:v>
      </x:c>
      <x:c r="C7" s="184" t="str">
        <x:v>Liquid excise cannot measure the device segment</x:v>
      </x:c>
      <x:c r="D7" s="184" t="str">
        <x:v>PX-DK-001 plus official retail data</x:v>
      </x:c>
      <x:c r="E7" s="185" t="str">
        <x:v>NOT OBTAINED</x:v>
      </x:c>
    </x:row>
    <x:row r="8" ht="75.5999984741211" hidden="0" customHeight="1">
      <x:c r="A8" s="183" t="str">
        <x:v>P2</x:v>
      </x:c>
      <x:c r="B8" s="184" t="str">
        <x:v>Domestic production, inventory, transit and re-exports</x:v>
      </x:c>
      <x:c r="C8" s="184" t="str">
        <x:v>Needed before border net can be related to Danish demand</x:v>
      </x:c>
      <x:c r="D8" s="184" t="str">
        <x:v>Statistics Denmark / Customs / company statistics</x:v>
      </x:c>
      <x:c r="E8" s="185" t="str">
        <x:v>NOT OBTAINED</x:v>
      </x:c>
    </x:row>
    <x:row r="9" ht="75.5999984741211" hidden="0" customHeight="1">
      <x:c r="A9" s="186" t="str">
        <x:v>P2</x:v>
      </x:c>
      <x:c r="B9" s="187" t="str">
        <x:v>Illegal/undeclared market denominator</x:v>
      </x:c>
      <x:c r="C9" s="187" t="str">
        <x:v>Targeted control hit rate cannot estimate national market share</x:v>
      </x:c>
      <x:c r="D9" s="187" t="str">
        <x:v>Representative enforcement study or official model with denominator</x:v>
      </x:c>
      <x:c r="E9" s="188" t="str">
        <x:v>NOT OBTAINED</x:v>
      </x:c>
    </x:row>
  </x:sheetData>
  <x:pageMargins left="0.7" right="0.7" top="0.75" bottom="0.75" header="0.3" footer="0.3"/>
</x:worksheet>
</file>