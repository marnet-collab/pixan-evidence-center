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b9f4a5ff3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9f0b48b8de48ee"/>
    <x:sheet xmlns:r="http://schemas.openxmlformats.org/officeDocument/2006/relationships" name="Market Estimate" sheetId="2" r:id="R1b613787509d475c"/>
    <x:sheet xmlns:r="http://schemas.openxmlformats.org/officeDocument/2006/relationships" name="Method Audit" sheetId="3" r:id="R1a651e90d9e4480a"/>
    <x:sheet xmlns:r="http://schemas.openxmlformats.org/officeDocument/2006/relationships" name="Price Inputs" sheetId="4" r:id="R7e5af86f4ce54a05"/>
    <x:sheet xmlns:r="http://schemas.openxmlformats.org/officeDocument/2006/relationships" name="Price Stress" sheetId="5" r:id="R8e756926c52047d0"/>
    <x:sheet xmlns:r="http://schemas.openxmlformats.org/officeDocument/2006/relationships" name="Youth Prevalence" sheetId="6" r:id="R5196ba3bd5484312"/>
    <x:sheet xmlns:r="http://schemas.openxmlformats.org/officeDocument/2006/relationships" name="CBS Prevalence" sheetId="7" r:id="Rbb36b7234a2d48b9"/>
    <x:sheet xmlns:r="http://schemas.openxmlformats.org/officeDocument/2006/relationships" name="Customs Bridge" sheetId="8" r:id="R1b42c8f6df454cf4"/>
    <x:sheet xmlns:r="http://schemas.openxmlformats.org/officeDocument/2006/relationships" name="Eurostat Route" sheetId="9" r:id="R12cd3ab332334609"/>
    <x:sheet xmlns:r="http://schemas.openxmlformats.org/officeDocument/2006/relationships" name="Top Partners" sheetId="10" r:id="R2bac278bf0b54bb5"/>
    <x:sheet xmlns:r="http://schemas.openxmlformats.org/officeDocument/2006/relationships" name="Audit Inputs" sheetId="11" r:id="R6d2d1ddd64244351"/>
    <x:sheet xmlns:r="http://schemas.openxmlformats.org/officeDocument/2006/relationships" name="Sources" sheetId="12" r:id="R43f963b6e9284e06"/>
    <x:sheet xmlns:r="http://schemas.openxmlformats.org/officeDocument/2006/relationships" name="Open Data Gaps" sheetId="13" r:id="Ree258ea6f5634b63"/>
  </x:sheets>
</x:workbook>
</file>

<file path=xl/comments1.xml><?xml version="1.0" encoding="utf-8"?>
<x:comments xmlns:x="http://schemas.openxmlformats.org/spreadsheetml/2006/main">
  <x:authors>
    <x:author>tc={47ED669D-10DB-F542-3284-1A63B1D23E88}</x:author>
    <x:author>tc={64D1CC82-3B8C-5559-DF8A-EDF845356D08}</x:author>
    <x:author>tc={2EC78E47-4877-292A-DC11-6E1B7C967D02}</x:author>
    <x:author>tc={16CD6E1D-EC48-D6E4-2A93-35357F2AD3FA}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https://www.tweedekamer.nl/downloads/document?id=2026D17119. Commissioned estimate, not official sell-out.</x:t>
        </x:r>
      </x:text>
    </x:comment>
    <x:comment ref="B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Derived from the two published outputs: EUR 256,865,383 / EUR 281,548,137.</x:t>
        </x:r>
      </x:text>
    </x:comment>
    <x:comment ref="B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. CN 24041200 is a broad proxy and Netherlands is a hub.</x:t>
        </x:r>
      </x:text>
    </x:comment>
    <x:comment ref="B1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point estimate is 24.6% with 95% CI 22.8-26.4%; report uses 22.8%.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€#,##0;[Red](€#,##0);-"/>
    <x:numFmt numFmtId="201" formatCode="0.000%"/>
    <x:numFmt numFmtId="202" formatCode="#,##0;[Red](#,##0);-"/>
    <x:numFmt numFmtId="203" formatCode="0.0%"/>
    <x:numFmt numFmtId="204" formatCode="#,##0.00;[Red](#,##0.00);-"/>
    <x:numFmt numFmtId="205" formatCode="€0.00"/>
    <x:numFmt numFmtId="206" formatCode="#,##0"/>
    <x:numFmt numFmtId="207" formatCode="0.00x"/>
  </x:numFmts>
  <x:fonts count="15">
    <x:font>
      <x:sz val="11"/>
      <x:name val="Carlito"/>
    </x:font>
    <x:font>
      <x:b/>
      <x:sz val="20"/>
      <x:color rgb="FFFFFFFF"/>
      <x:name val="Arial"/>
    </x:font>
    <x:font>
      <x:i/>
      <x:sz val="11"/>
      <x:color rgb="FF10243E"/>
      <x:name val="Arial"/>
    </x:font>
    <x:font>
      <x:b/>
      <x:sz val="11"/>
      <x:color rgb="FFFFFFFF"/>
      <x:name val="Arial"/>
    </x:font>
    <x:font>
      <x:b/>
      <x:sz val="11"/>
      <x:color rgb="FF10243E"/>
      <x:name val="Carlito"/>
    </x:font>
    <x:font>
      <x:b/>
      <x:sz val="11"/>
      <x:color rgb="FF000000"/>
      <x:name val="Carlito"/>
    </x:font>
    <x:font>
      <x:sz val="11"/>
      <x:color rgb="FF667085"/>
      <x:name val="Carlito"/>
    </x:font>
    <x:font>
      <x:b/>
      <x:sz val="11"/>
      <x:color rgb="FFC89425"/>
      <x:name val="Carlito"/>
    </x:font>
    <x:font>
      <x:b/>
      <x:sz val="11"/>
      <x:color rgb="FFFFFFFF"/>
      <x:name val="Carlito"/>
    </x:font>
    <x:font>
      <x:sz val="11"/>
      <x:name val="Arial"/>
    </x:font>
    <x:font>
      <x:b/>
      <x:sz val="11"/>
      <x:color rgb="FF10243E"/>
      <x:name val="Arial"/>
    </x:font>
    <x:font>
      <x:b/>
      <x:sz val="11"/>
      <x:color rgb="FF000000"/>
      <x:name val="Arial"/>
    </x:font>
    <x:font>
      <x:sz val="11"/>
      <x:color rgb="FF667085"/>
      <x:name val="Arial"/>
    </x:font>
    <x:font>
      <x:b/>
      <x:sz val="11"/>
      <x:color rgb="FFC89425"/>
      <x:name val="Arial"/>
    </x:font>
    <x:font>
      <x:sz val="9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AF1FB"/>
      </x:patternFill>
    </x:fill>
    <x:fill>
      <x:patternFill patternType="solid">
        <x:fgColor rgb="FF2457A7"/>
      </x:patternFill>
    </x:fill>
    <x:fill>
      <x:patternFill patternType="solid">
        <x:fgColor rgb="FFFFF5D8"/>
      </x:patternFill>
    </x:fill>
    <x:fill>
      <x:patternFill patternType="solid">
        <x:fgColor rgb="FFC89425"/>
      </x:patternFill>
    </x:fill>
    <x:fill>
      <x:patternFill patternType="solid">
        <x:fgColor rgb="FFFFFFFF"/>
      </x:patternFill>
    </x:fill>
  </x:fills>
  <x:borders count="15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medium">
        <x:color rgb="FFC89425"/>
      </x:left>
      <x:top style="medium">
        <x:color rgb="FFC89425"/>
      </x:top>
      <x:bottom style="medium">
        <x:color rgb="FFC89425"/>
      </x:bottom>
    </x:border>
    <x:border>
      <x:right style="medium">
        <x:color rgb="FFC89425"/>
      </x:right>
      <x:top style="medium">
        <x:color rgb="FFC89425"/>
      </x:top>
      <x:bottom style="medium">
        <x:color rgb="FFC89425"/>
      </x:bottom>
    </x:border>
    <x:border>
      <x:right style="thin">
        <x:color rgb="FF36506D"/>
      </x:right>
    </x:border>
    <x:border>
      <x:left style="thin">
        <x:color rgb="FF36506D"/>
      </x:left>
      <x:right style="thin">
        <x:color rgb="FF36506D"/>
      </x:right>
    </x:border>
    <x:border>
      <x:left style="thin">
        <x:color rgb="FF36506D"/>
      </x:left>
    </x:border>
  </x:borders>
  <x:cellStyleXfs count="1">
    <x:xf numFmtId="0" fontId="0" fillId="0" borderId="0"/>
  </x:cellStyleXfs>
  <x:cellXfs count="1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7" xfId="0" applyNumberFormat="1" applyFont="1" applyFill="1" applyBorder="1"/>
    <x:xf numFmtId="203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3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3" fontId="5" fillId="0" borderId="8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8" fillId="2" borderId="0" xfId="0" applyNumberFormat="1" applyFont="1" applyFill="1" applyBorder="1"/>
    <x:xf numFmtId="204" fontId="0" fillId="0" borderId="0" xfId="0" applyNumberFormat="1" applyFont="1" applyFill="1" applyBorder="1"/>
    <x:xf numFmtId="204" fontId="0" fillId="0" borderId="2" xfId="0" applyNumberFormat="1" applyFont="1" applyFill="1" applyBorder="1"/>
    <x:xf numFmtId="204" fontId="0" fillId="0" borderId="5" xfId="0" applyNumberFormat="1" applyFont="1" applyFill="1" applyBorder="1"/>
    <x:xf numFmtId="203" fontId="0" fillId="0" borderId="5" xfId="0" applyNumberFormat="1" applyFont="1" applyFill="1" applyBorder="1"/>
    <x:xf numFmtId="0" fontId="0" fillId="5" borderId="8" xfId="0" applyNumberFormat="1" applyFont="1" applyFill="1" applyBorder="1"/>
    <x:xf numFmtId="0" fontId="7" fillId="5" borderId="8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12" fillId="0" borderId="2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/>
    </x:xf>
    <x:xf numFmtId="200" fontId="11" fillId="0" borderId="5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/>
    </x:xf>
    <x:xf numFmtId="0" fontId="12" fillId="0" borderId="5" xfId="0" applyNumberFormat="1" applyFont="1" applyFill="1" applyBorder="1" applyAlignment="1">
      <x:alignment vertical="center" wrapText="1"/>
    </x:xf>
    <x:xf numFmtId="0" fontId="12" fillId="0" borderId="6" xfId="0" applyNumberFormat="1" applyFont="1" applyFill="1" applyBorder="1" applyAlignment="1">
      <x:alignment vertical="center" wrapText="1"/>
    </x:xf>
    <x:xf numFmtId="201" fontId="11" fillId="0" borderId="5" xfId="0" applyNumberFormat="1" applyFont="1" applyFill="1" applyBorder="1" applyAlignment="1">
      <x:alignment vertical="center"/>
    </x:xf>
    <x:xf numFmtId="202" fontId="11" fillId="0" borderId="5" xfId="0" applyNumberFormat="1" applyFont="1" applyFill="1" applyBorder="1" applyAlignment="1">
      <x:alignment vertical="center"/>
    </x:xf>
    <x:xf numFmtId="0" fontId="10" fillId="0" borderId="7" xfId="0" applyNumberFormat="1" applyFont="1" applyFill="1" applyBorder="1" applyAlignment="1">
      <x:alignment vertical="center"/>
    </x:xf>
    <x:xf numFmtId="203" fontId="11" fillId="0" borderId="8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0" fontId="12" fillId="0" borderId="8" xfId="0" applyNumberFormat="1" applyFont="1" applyFill="1" applyBorder="1" applyAlignment="1">
      <x:alignment vertical="center" wrapText="1"/>
    </x:xf>
    <x:xf numFmtId="0" fontId="12" fillId="0" borderId="9" xfId="0" applyNumberFormat="1" applyFont="1" applyFill="1" applyBorder="1" applyAlignment="1">
      <x:alignment vertical="center" wrapText="1"/>
    </x:xf>
    <x:xf numFmtId="0" fontId="13" fillId="5" borderId="10" xfId="0" applyNumberFormat="1" applyFont="1" applyFill="1" applyBorder="1"/>
    <x:xf numFmtId="0" fontId="13" fillId="5" borderId="11" xfId="0" applyNumberFormat="1" applyFont="1" applyFill="1" applyBorder="1"/>
    <x:xf numFmtId="0" fontId="3" fillId="2" borderId="0" xfId="0" applyNumberFormat="1" applyFont="1" applyFill="1" applyBorder="1"/>
    <x:xf numFmtId="0" fontId="9" fillId="0" borderId="1" xfId="0" applyNumberFormat="1" applyFont="1" applyFill="1" applyBorder="1"/>
    <x:xf numFmtId="204" fontId="9" fillId="0" borderId="2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4" xfId="0" applyNumberFormat="1" applyFont="1" applyFill="1" applyBorder="1"/>
    <x:xf numFmtId="204" fontId="9" fillId="0" borderId="5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203" fontId="9" fillId="0" borderId="5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13" fillId="5" borderId="8" xfId="0" applyNumberFormat="1" applyFont="1" applyFill="1" applyBorder="1"/>
    <x:xf numFmtId="0" fontId="9" fillId="0" borderId="9" xfId="0" applyNumberFormat="1" applyFont="1" applyFill="1" applyBorder="1"/>
    <x:xf numFmtId="0" fontId="3" fillId="6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3" fillId="5" borderId="10" xfId="0" applyNumberFormat="1" applyFont="1" applyFill="1" applyBorder="1" applyAlignment="1">
      <x:alignment vertical="center"/>
    </x:xf>
    <x:xf numFmtId="0" fontId="13" fillId="5" borderId="1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204" fontId="9" fillId="0" borderId="2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204" fontId="9" fillId="0" borderId="5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203" fontId="9" fillId="0" borderId="5" xfId="0" applyNumberFormat="1" applyFont="1" applyFill="1" applyBorder="1" applyAlignment="1">
      <x:alignment vertical="center"/>
    </x:xf>
    <x:xf numFmtId="0" fontId="9" fillId="0" borderId="7" xfId="0" applyNumberFormat="1" applyFont="1" applyFill="1" applyBorder="1" applyAlignment="1">
      <x:alignment vertical="center"/>
    </x:xf>
    <x:xf numFmtId="0" fontId="13" fillId="5" borderId="8" xfId="0" applyNumberFormat="1" applyFont="1" applyFill="1" applyBorder="1" applyAlignment="1">
      <x:alignment vertical="center"/>
    </x:xf>
    <x:xf numFmtId="0" fontId="9" fillId="0" borderId="9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vertical="center" wrapText="1"/>
    </x:xf>
    <x:xf numFmtId="0" fontId="3" fillId="2" borderId="13" xfId="0" applyNumberFormat="1" applyFont="1" applyFill="1" applyBorder="1" applyAlignment="1">
      <x:alignment vertical="center" wrapText="1"/>
    </x:xf>
    <x:xf numFmtId="0" fontId="3" fillId="2" borderId="14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4" fillId="0" borderId="2" xfId="0" applyNumberFormat="1" applyFont="1" applyFill="1" applyBorder="1"/>
    <x:xf numFmtId="0" fontId="14" fillId="0" borderId="3" xfId="0" applyNumberFormat="1" applyFont="1" applyFill="1" applyBorder="1"/>
    <x:xf numFmtId="0" fontId="14" fillId="0" borderId="4" xfId="0" applyNumberFormat="1" applyFont="1" applyFill="1" applyBorder="1"/>
    <x:xf numFmtId="0" fontId="14" fillId="0" borderId="5" xfId="0" applyNumberFormat="1" applyFont="1" applyFill="1" applyBorder="1"/>
    <x:xf numFmtId="0" fontId="14" fillId="0" borderId="6" xfId="0" applyNumberFormat="1" applyFont="1" applyFill="1" applyBorder="1"/>
    <x:xf numFmtId="0" fontId="14" fillId="0" borderId="7" xfId="0" applyNumberFormat="1" applyFont="1" applyFill="1" applyBorder="1"/>
    <x:xf numFmtId="0" fontId="14" fillId="0" borderId="8" xfId="0" applyNumberFormat="1" applyFont="1" applyFill="1" applyBorder="1"/>
    <x:xf numFmtId="0" fontId="14" fillId="0" borderId="9" xfId="0" applyNumberFormat="1" applyFont="1" applyFill="1" applyBorder="1"/>
    <x:xf numFmtId="0" fontId="14" fillId="0" borderId="1" xfId="0" applyNumberFormat="1" applyFont="1" applyFill="1" applyBorder="1" applyAlignment="1">
      <x:alignment vertical="top"/>
    </x:xf>
    <x:xf numFmtId="0" fontId="14" fillId="0" borderId="2" xfId="0" applyNumberFormat="1" applyFont="1" applyFill="1" applyBorder="1" applyAlignment="1">
      <x:alignment vertical="top"/>
    </x:xf>
    <x:xf numFmtId="0" fontId="14" fillId="0" borderId="3" xfId="0" applyNumberFormat="1" applyFont="1" applyFill="1" applyBorder="1" applyAlignment="1">
      <x:alignment vertical="top"/>
    </x:xf>
    <x:xf numFmtId="0" fontId="14" fillId="0" borderId="4" xfId="0" applyNumberFormat="1" applyFont="1" applyFill="1" applyBorder="1" applyAlignment="1">
      <x:alignment vertical="top"/>
    </x:xf>
    <x:xf numFmtId="0" fontId="14" fillId="0" borderId="5" xfId="0" applyNumberFormat="1" applyFont="1" applyFill="1" applyBorder="1" applyAlignment="1">
      <x:alignment vertical="top"/>
    </x:xf>
    <x:xf numFmtId="0" fontId="14" fillId="0" borderId="6" xfId="0" applyNumberFormat="1" applyFont="1" applyFill="1" applyBorder="1" applyAlignment="1">
      <x:alignment vertical="top"/>
    </x:xf>
    <x:xf numFmtId="0" fontId="14" fillId="0" borderId="7" xfId="0" applyNumberFormat="1" applyFont="1" applyFill="1" applyBorder="1" applyAlignment="1">
      <x:alignment vertical="top"/>
    </x:xf>
    <x:xf numFmtId="0" fontId="14" fillId="0" borderId="8" xfId="0" applyNumberFormat="1" applyFont="1" applyFill="1" applyBorder="1" applyAlignment="1">
      <x:alignment vertical="top"/>
    </x:xf>
    <x:xf numFmtId="0" fontId="14" fillId="0" borderId="9" xfId="0" applyNumberFormat="1" applyFont="1" applyFill="1" applyBorder="1" applyAlignment="1">
      <x:alignment vertical="top"/>
    </x:xf>
    <x:xf numFmtId="0" fontId="14" fillId="0" borderId="1" xfId="0" applyNumberFormat="1" applyFont="1" applyFill="1" applyBorder="1" applyAlignment="1">
      <x:alignment vertical="top" wrapText="1"/>
    </x:xf>
    <x:xf numFmtId="0" fontId="14" fillId="0" borderId="2" xfId="0" applyNumberFormat="1" applyFont="1" applyFill="1" applyBorder="1" applyAlignment="1">
      <x:alignment vertical="top" wrapText="1"/>
    </x:xf>
    <x:xf numFmtId="0" fontId="14" fillId="0" borderId="3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vertical="top" wrapText="1"/>
    </x:xf>
    <x:xf numFmtId="0" fontId="14" fillId="0" borderId="5" xfId="0" applyNumberFormat="1" applyFont="1" applyFill="1" applyBorder="1" applyAlignment="1">
      <x:alignment vertical="top" wrapText="1"/>
    </x:xf>
    <x:xf numFmtId="0" fontId="14" fillId="0" borderId="6" xfId="0" applyNumberFormat="1" applyFont="1" applyFill="1" applyBorder="1" applyAlignment="1">
      <x:alignment vertical="top" wrapText="1"/>
    </x:xf>
    <x:xf numFmtId="0" fontId="14" fillId="0" borderId="7" xfId="0" applyNumberFormat="1" applyFont="1" applyFill="1" applyBorder="1" applyAlignment="1">
      <x:alignment vertical="top" wrapText="1"/>
    </x:xf>
    <x:xf numFmtId="0" fontId="14" fillId="0" borderId="8" xfId="0" applyNumberFormat="1" applyFont="1" applyFill="1" applyBorder="1" applyAlignment="1">
      <x:alignment vertical="top" wrapText="1"/>
    </x:xf>
    <x:xf numFmtId="0" fontId="14" fillId="0" borderId="9" xfId="0" applyNumberFormat="1" applyFont="1" applyFill="1" applyBorder="1" applyAlignment="1">
      <x:alignment vertical="top" wrapText="1"/>
    </x:xf>
    <x:xf numFmtId="200" fontId="14" fillId="0" borderId="2" xfId="0" applyNumberFormat="1" applyFont="1" applyFill="1" applyBorder="1" applyAlignment="1">
      <x:alignment vertical="top" wrapText="1"/>
    </x:xf>
    <x:xf numFmtId="200" fontId="14" fillId="0" borderId="5" xfId="0" applyNumberFormat="1" applyFont="1" applyFill="1" applyBorder="1" applyAlignment="1">
      <x:alignment vertical="top" wrapText="1"/>
    </x:xf>
    <x:xf numFmtId="200" fontId="14" fillId="0" borderId="8" xfId="0" applyNumberFormat="1" applyFont="1" applyFill="1" applyBorder="1" applyAlignment="1">
      <x:alignment vertical="top" wrapText="1"/>
    </x:xf>
    <x:xf numFmtId="201" fontId="14" fillId="0" borderId="2" xfId="0" applyNumberFormat="1" applyFont="1" applyFill="1" applyBorder="1" applyAlignment="1">
      <x:alignment vertical="top" wrapText="1"/>
    </x:xf>
    <x:xf numFmtId="201" fontId="14" fillId="0" borderId="5" xfId="0" applyNumberFormat="1" applyFont="1" applyFill="1" applyBorder="1" applyAlignment="1">
      <x:alignment vertical="top" wrapText="1"/>
    </x:xf>
    <x:xf numFmtId="201" fontId="14" fillId="0" borderId="8" xfId="0" applyNumberFormat="1" applyFont="1" applyFill="1" applyBorder="1" applyAlignment="1">
      <x:alignment vertical="top" wrapText="1"/>
    </x:xf>
    <x:xf numFmtId="205" fontId="14" fillId="0" borderId="2" xfId="0" applyNumberFormat="1" applyFont="1" applyFill="1" applyBorder="1" applyAlignment="1">
      <x:alignment vertical="top" wrapText="1"/>
    </x:xf>
    <x:xf numFmtId="205" fontId="14" fillId="0" borderId="5" xfId="0" applyNumberFormat="1" applyFont="1" applyFill="1" applyBorder="1" applyAlignment="1">
      <x:alignment vertical="top" wrapText="1"/>
    </x:xf>
    <x:xf numFmtId="205" fontId="14" fillId="0" borderId="8" xfId="0" applyNumberFormat="1" applyFont="1" applyFill="1" applyBorder="1" applyAlignment="1">
      <x:alignment vertical="top" wrapText="1"/>
    </x:xf>
    <x:xf numFmtId="206" fontId="14" fillId="0" borderId="2" xfId="0" applyNumberFormat="1" applyFont="1" applyFill="1" applyBorder="1" applyAlignment="1">
      <x:alignment vertical="top" wrapText="1"/>
    </x:xf>
    <x:xf numFmtId="206" fontId="14" fillId="0" borderId="5" xfId="0" applyNumberFormat="1" applyFont="1" applyFill="1" applyBorder="1" applyAlignment="1">
      <x:alignment vertical="top" wrapText="1"/>
    </x:xf>
    <x:xf numFmtId="206" fontId="14" fillId="0" borderId="8" xfId="0" applyNumberFormat="1" applyFont="1" applyFill="1" applyBorder="1" applyAlignment="1">
      <x:alignment vertical="top" wrapText="1"/>
    </x:xf>
    <x:xf numFmtId="207" fontId="14" fillId="0" borderId="2" xfId="0" applyNumberFormat="1" applyFont="1" applyFill="1" applyBorder="1" applyAlignment="1">
      <x:alignment vertical="top" wrapText="1"/>
    </x:xf>
    <x:xf numFmtId="207" fontId="14" fillId="0" borderId="5" xfId="0" applyNumberFormat="1" applyFont="1" applyFill="1" applyBorder="1" applyAlignment="1">
      <x:alignment vertical="top" wrapText="1"/>
    </x:xf>
    <x:xf numFmtId="207" fontId="14" fillId="0" borderId="8" xfId="0" applyNumberFormat="1" applyFont="1" applyFill="1" applyBorder="1" applyAlignment="1">
      <x:alignment vertical="top" wrapText="1"/>
    </x:xf>
    <x:xf numFmtId="203" fontId="14" fillId="0" borderId="2" xfId="0" applyNumberFormat="1" applyFont="1" applyFill="1" applyBorder="1" applyAlignment="1">
      <x:alignment vertical="top" wrapText="1"/>
    </x:xf>
    <x:xf numFmtId="203" fontId="14" fillId="0" borderId="5" xfId="0" applyNumberFormat="1" applyFont="1" applyFill="1" applyBorder="1" applyAlignment="1">
      <x:alignment vertical="top" wrapText="1"/>
    </x:xf>
    <x:xf numFmtId="203" fontId="14" fillId="0" borderId="8" xfId="0" applyNumberFormat="1" applyFont="1" applyFill="1" applyBorder="1" applyAlignment="1">
      <x:alignment vertical="top" wrapText="1"/>
    </x:xf>
    <x:xf numFmtId="202" fontId="14" fillId="0" borderId="2" xfId="0" applyNumberFormat="1" applyFont="1" applyFill="1" applyBorder="1" applyAlignment="1">
      <x:alignment vertical="top" wrapText="1"/>
    </x:xf>
    <x:xf numFmtId="202" fontId="14" fillId="0" borderId="5" xfId="0" applyNumberFormat="1" applyFont="1" applyFill="1" applyBorder="1" applyAlignment="1">
      <x:alignment vertical="top" wrapText="1"/>
    </x:xf>
    <x:xf numFmtId="202" fontId="14" fillId="0" borderId="8" xfId="0" applyNumberFormat="1" applyFont="1" applyFill="1" applyBorder="1" applyAlignment="1">
      <x:alignment vertical="top" wrapText="1"/>
    </x:xf>
    <x:xf numFmtId="204" fontId="14" fillId="0" borderId="2" xfId="0" applyNumberFormat="1" applyFont="1" applyFill="1" applyBorder="1" applyAlignment="1">
      <x:alignment vertical="top" wrapText="1"/>
    </x:xf>
    <x:xf numFmtId="204" fontId="14" fillId="0" borderId="5" xfId="0" applyNumberFormat="1" applyFont="1" applyFill="1" applyBorder="1" applyAlignment="1">
      <x:alignment vertical="top" wrapText="1"/>
    </x:xf>
    <x:xf numFmtId="204" fontId="1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F7A4D"/>
      </x:font>
      <x:fill>
        <x:patternFill patternType="solid">
          <x:bgColor rgb="FFE7F5ED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4cbe6fa164540" /><Relationship Type="http://schemas.openxmlformats.org/officeDocument/2006/relationships/theme" Target="/xl/theme/theme1.xml" Id="Ra6e35828b6eb436a" /><Relationship Type="http://schemas.openxmlformats.org/officeDocument/2006/relationships/sharedStrings" Target="/xl/sharedStrings.xml" Id="Rbe4214c91d34434f" /><Relationship Type="http://schemas.openxmlformats.org/officeDocument/2006/relationships/worksheet" Target="/xl/worksheets/sheet1.xml" Id="Ra79f0b48b8de48ee" /><Relationship Type="http://schemas.openxmlformats.org/officeDocument/2006/relationships/worksheet" Target="/xl/worksheets/sheet2.xml" Id="R1b613787509d475c" /><Relationship Type="http://schemas.openxmlformats.org/officeDocument/2006/relationships/worksheet" Target="/xl/worksheets/sheet3.xml" Id="R1a651e90d9e4480a" /><Relationship Type="http://schemas.openxmlformats.org/officeDocument/2006/relationships/worksheet" Target="/xl/worksheets/sheet4.xml" Id="R7e5af86f4ce54a05" /><Relationship Type="http://schemas.openxmlformats.org/officeDocument/2006/relationships/worksheet" Target="/xl/worksheets/sheet5.xml" Id="R8e756926c52047d0" /><Relationship Type="http://schemas.openxmlformats.org/officeDocument/2006/relationships/worksheet" Target="/xl/worksheets/sheet6.xml" Id="R5196ba3bd5484312" /><Relationship Type="http://schemas.openxmlformats.org/officeDocument/2006/relationships/worksheet" Target="/xl/worksheets/sheet7.xml" Id="Rbb36b7234a2d48b9" /><Relationship Type="http://schemas.openxmlformats.org/officeDocument/2006/relationships/worksheet" Target="/xl/worksheets/sheet8.xml" Id="R1b42c8f6df454cf4" /><Relationship Type="http://schemas.openxmlformats.org/officeDocument/2006/relationships/worksheet" Target="/xl/worksheets/sheet9.xml" Id="R12cd3ab332334609" /><Relationship Type="http://schemas.openxmlformats.org/officeDocument/2006/relationships/worksheet" Target="/xl/worksheets/sheet10.xml" Id="R2bac278bf0b54bb5" /><Relationship Type="http://schemas.openxmlformats.org/officeDocument/2006/relationships/worksheet" Target="/xl/worksheets/sheet11.xml" Id="R6d2d1ddd64244351" /><Relationship Type="http://schemas.openxmlformats.org/officeDocument/2006/relationships/worksheet" Target="/xl/worksheets/sheet12.xml" Id="R43f963b6e9284e06" /><Relationship Type="http://schemas.openxmlformats.org/officeDocument/2006/relationships/worksheet" Target="/xl/worksheets/sheet13.xml" Id="Ree258ea6f5634b63" /><Relationship Type="http://schemas.microsoft.com/office/2017/10/relationships/person" Target="/xl/persons/person.xml" Id="R831797128ee446b9" /></Relationships>
</file>

<file path=xl/persons/person.xml><?xml version="1.0" encoding="utf-8"?>
<xltc:personList xmlns:xltc="http://schemas.microsoft.com/office/spreadsheetml/2018/threadedcomments">
  <xltc:person displayName="Pixan evidence audit" id="{AB0B1EBD-1640-4D67-9315-2DF722232DC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7-17T13:00:35.262" personId="{AB0B1EBD-1640-4D67-9315-2DF722232DC1}" id="{47ED669D-10DB-F542-3284-1A63B1D23E88}">
    <xltc:text>Source: https://www.tweedekamer.nl/downloads/document?id=2026D17119. Commissioned estimate, not official sell-out.</xltc:text>
  </xltc:threadedComment>
  <xltc:threadedComment ref="B9" dT="2026-07-17T13:00:35.263" personId="{AB0B1EBD-1640-4D67-9315-2DF722232DC1}" id="{64D1CC82-3B8C-5559-DF8A-EDF845356D08}">
    <xltc:text>Derived from the two published outputs: EUR 256,865,383 / EUR 281,548,137.</xltc:text>
  </xltc:threadedComment>
  <xltc:threadedComment ref="B12" dT="2026-07-17T13:00:35.263" personId="{AB0B1EBD-1640-4D67-9315-2DF722232DC1}" id="{2EC78E47-4877-292A-DC11-6E1B7C967D02}">
    <xltc:text>Source: 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. CN 24041200 is a broad proxy and Netherlands is a hub.</xltc:text>
  </xltc:threadedComment>
  <xltc:threadedComment ref="B16" dT="2026-07-17T13:00:35.263" personId="{AB0B1EBD-1640-4D67-9315-2DF722232DC1}" id="{16CD6E1D-EC48-D6E4-2A93-35357F2AD3FA}">
    <xltc:text>Source point estimate is 24.6% with 95% CI 22.8-26.4%; report uses 22.8%.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8b43b1706134119" /><Relationship Type="http://schemas.openxmlformats.org/officeDocument/2006/relationships/vmlDrawing" Target="/xl/drawings/vmldrawing.vml" Id="R26dd26437f68429d" /><Relationship Type="http://schemas.microsoft.com/office/2017/10/relationships/threadedComment" Target="/xl/threadedcomments/threadedcomment.xml" Id="R44bca387b0b942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</x:cols>
  <x:sheetData>
    <x:row r="1">
      <x:c r="A1" s="3" t="str">
        <x:v>Pixan | Netherlands market evidence workbook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113" t="str">
        <x:v>VWS-commissioned market estimate, source-method audit and Eurostat hub routing | as of 2026-07-17</x:v>
      </x:c>
      <x:c r="B3" s="113"/>
      <x:c r="C3" s="113"/>
      <x:c r="D3" s="113"/>
      <x:c r="E3" s="113"/>
      <x:c r="F3" s="113"/>
      <x:c r="G3" s="113"/>
      <x:c r="H3" s="113"/>
    </x:row>
    <x:row r="4">
      <x:c r="A4" s="114"/>
      <x:c r="B4" s="114"/>
      <x:c r="C4" s="114"/>
      <x:c r="D4" s="114"/>
      <x:c r="E4" s="114"/>
      <x:c r="F4" s="114"/>
      <x:c r="G4" s="114"/>
      <x:c r="H4" s="114"/>
    </x:row>
    <x:row r="5">
      <x:c r="A5" s="115" t="str">
        <x:v>Key evidence</x:v>
      </x:c>
      <x:c r="B5" s="115" t="str">
        <x:v>Value</x:v>
      </x:c>
      <x:c r="C5" s="115" t="str">
        <x:v>Unit</x:v>
      </x:c>
      <x:c r="D5" s="115" t="str">
        <x:v>Interpretation</x:v>
      </x:c>
      <x:c r="E5" s="115"/>
      <x:c r="F5" s="115"/>
      <x:c r="G5" s="115"/>
      <x:c r="H5" s="115"/>
    </x:row>
    <x:row r="6" ht="34" customHeight="1">
      <x:c r="A6" s="77" t="str">
        <x:v>Reported annual consumer vape spend</x:v>
      </x:c>
      <x:c r="B6" s="78" t="n">
        <x:f>'Market Estimate'!B2</x:f>
        <x:v>281548137</x:v>
      </x:c>
      <x:c r="C6" s="79" t="str">
        <x:v>EUR</x:v>
      </x:c>
      <x:c r="D6" s="80" t="str">
        <x:v>VWS-commissioned model estimate; not tax or audited retail turnover.</x:v>
      </x:c>
      <x:c r="E6" s="80"/>
      <x:c r="F6" s="80"/>
      <x:c r="G6" s="80"/>
      <x:c r="H6" s="81"/>
    </x:row>
    <x:row r="7" ht="34" customHeight="1">
      <x:c r="A7" s="82" t="str">
        <x:v>Reported illegal spend, age-specific method</x:v>
      </x:c>
      <x:c r="B7" s="83" t="n">
        <x:f>'Market Estimate'!B3</x:f>
        <x:v>256865383</x:v>
      </x:c>
      <x:c r="C7" s="84" t="str">
        <x:v>EUR</x:v>
      </x:c>
      <x:c r="D7" s="85" t="str">
        <x:v>Model estimate; includes a foreign-purchase middle category in user classification.</x:v>
      </x:c>
      <x:c r="E7" s="85"/>
      <x:c r="F7" s="85"/>
      <x:c r="G7" s="85"/>
      <x:c r="H7" s="86"/>
    </x:row>
    <x:row r="8" ht="34" customHeight="1">
      <x:c r="A8" s="82" t="str">
        <x:v>Derived legal-spend residual</x:v>
      </x:c>
      <x:c r="B8" s="83" t="n">
        <x:f>'Market Estimate'!B4</x:f>
        <x:v>24682754</x:v>
      </x:c>
      <x:c r="C8" s="84" t="str">
        <x:v>EUR</x:v>
      </x:c>
      <x:c r="D8" s="85" t="str">
        <x:v>Residual of modelled totals; not official legal sell-out.</x:v>
      </x:c>
      <x:c r="E8" s="85"/>
      <x:c r="F8" s="85"/>
      <x:c r="G8" s="85"/>
      <x:c r="H8" s="86"/>
    </x:row>
    <x:row r="9" ht="34" customHeight="1">
      <x:c r="A9" s="82" t="str">
        <x:v>Derived illegal spend share</x:v>
      </x:c>
      <x:c r="B9" s="87" t="n">
        <x:f>'Market Estimate'!C3</x:f>
        <x:v>0.9123320300000001</x:v>
      </x:c>
      <x:c r="C9" s="84" t="str">
        <x:v>%</x:v>
      </x:c>
      <x:c r="D9" s="85" t="str">
        <x:v>Expenditure share implied by two report outputs; differs from 87% user incidence.</x:v>
      </x:c>
      <x:c r="E9" s="85"/>
      <x:c r="F9" s="85"/>
      <x:c r="G9" s="85"/>
      <x:c r="H9" s="86"/>
    </x:row>
    <x:row r="10" ht="34" customHeight="1">
      <x:c r="A10" s="82" t="str">
        <x:v>Direct 87% illegal method</x:v>
      </x:c>
      <x:c r="B10" s="83" t="n">
        <x:f>'Market Estimate'!B5</x:f>
        <x:v>244946879</x:v>
      </x:c>
      <x:c r="C10" s="84" t="str">
        <x:v>EUR</x:v>
      </x:c>
      <x:c r="D10" s="85" t="str">
        <x:v>Report sensitivity using user incidence as a mechanical share.</x:v>
      </x:c>
      <x:c r="E10" s="85"/>
      <x:c r="F10" s="85"/>
      <x:c r="G10" s="85"/>
      <x:c r="H10" s="86"/>
    </x:row>
    <x:row r="11" ht="34" customHeight="1">
      <x:c r="A11" s="82" t="str">
        <x:v>Age-specific versus direct illegal delta</x:v>
      </x:c>
      <x:c r="B11" s="83" t="n">
        <x:f>'Market Estimate'!B7</x:f>
        <x:v>11918504</x:v>
      </x:c>
      <x:c r="C11" s="84" t="str">
        <x:v>EUR</x:v>
      </x:c>
      <x:c r="D11" s="85" t="str">
        <x:v>Method sensitivity, not an error bar.</x:v>
      </x:c>
      <x:c r="E11" s="85"/>
      <x:c r="F11" s="85"/>
      <x:c r="G11" s="85"/>
      <x:c r="H11" s="86"/>
    </x:row>
    <x:row r="12" ht="34" customHeight="1">
      <x:c r="A12" s="82" t="str">
        <x:v>2025 narrow WORLD imports</x:v>
      </x:c>
      <x:c r="B12" s="83" t="n">
        <x:f>'Customs Bridge'!D2</x:f>
        <x:v>204763244</x:v>
      </x:c>
      <x:c r="C12" s="84" t="str">
        <x:v>EUR</x:v>
      </x:c>
      <x:c r="D12" s="85" t="str">
        <x:v>CN 85434000 + broad nicotine proxy 24041200; border trade.</x:v>
      </x:c>
      <x:c r="E12" s="85"/>
      <x:c r="F12" s="85"/>
      <x:c r="G12" s="85"/>
      <x:c r="H12" s="86"/>
    </x:row>
    <x:row r="13" ht="34" customHeight="1">
      <x:c r="A13" s="82" t="str">
        <x:v>2025 narrow WORLD exports</x:v>
      </x:c>
      <x:c r="B13" s="83" t="n">
        <x:f>'Customs Bridge'!E2</x:f>
        <x:v>69808927</x:v>
      </x:c>
      <x:c r="C13" s="84" t="str">
        <x:v>EUR</x:v>
      </x:c>
      <x:c r="D13" s="85" t="str">
        <x:v>Exports evidence hub routing; not Dutch consumption.</x:v>
      </x:c>
      <x:c r="E13" s="85"/>
      <x:c r="F13" s="85"/>
      <x:c r="G13" s="85"/>
      <x:c r="H13" s="86"/>
    </x:row>
    <x:row r="14" ht="34" customHeight="1">
      <x:c r="A14" s="82" t="str">
        <x:v>2025 narrow border net</x:v>
      </x:c>
      <x:c r="B14" s="83" t="n">
        <x:f>'Customs Bridge'!F2</x:f>
        <x:v>134954317</x:v>
      </x:c>
      <x:c r="C14" s="84" t="str">
        <x:v>EUR</x:v>
      </x:c>
      <x:c r="D14" s="85" t="str">
        <x:v>Imports minus exports; not domestic demand.</x:v>
      </x:c>
      <x:c r="E14" s="85"/>
      <x:c r="F14" s="85"/>
      <x:c r="G14" s="85"/>
      <x:c r="H14" s="86"/>
    </x:row>
    <x:row r="15" ht="34" customHeight="1">
      <x:c r="A15" s="82" t="str">
        <x:v>Narrow extra-EU import share</x:v>
      </x:c>
      <x:c r="B15" s="87" t="n">
        <x:f>'Customs Bridge'!M2</x:f>
        <x:v>0.85972367</x:v>
      </x:c>
      <x:c r="C15" s="84" t="str">
        <x:v>%</x:v>
      </x:c>
      <x:c r="D15" s="85" t="str">
        <x:v>Origin-side exposure under Eurostat route semantics.</x:v>
      </x:c>
      <x:c r="E15" s="85"/>
      <x:c r="F15" s="85"/>
      <x:c r="G15" s="85"/>
      <x:c r="H15" s="86"/>
    </x:row>
    <x:row r="16" ht="34" customHeight="1">
      <x:c r="A16" s="82" t="str">
        <x:v>Youth point estimate versus report input</x:v>
      </x:c>
      <x:c r="B16" s="88" t="n">
        <x:f>'Youth Prevalence'!E3</x:f>
        <x:v>13956</x:v>
      </x:c>
      <x:c r="C16" s="84" t="str">
        <x:v>persons</x:v>
      </x:c>
      <x:c r="D16" s="85" t="str">
        <x:v>24.6% point estimate implies 13,956 more ever-users than report's 22.8% input.</x:v>
      </x:c>
      <x:c r="E16" s="85"/>
      <x:c r="F16" s="85"/>
      <x:c r="G16" s="85"/>
      <x:c r="H16" s="86"/>
    </x:row>
    <x:row r="17" ht="34" customHeight="1">
      <x:c r="A17" s="89" t="str">
        <x:v>CBS 2024 e-cigarette prevalence, age 12+</x:v>
      </x:c>
      <x:c r="B17" s="90" t="n">
        <x:f>'CBS Prevalence'!D2</x:f>
        <x:v>0.035</x:v>
      </x:c>
      <x:c r="C17" s="91" t="str">
        <x:v>%</x:v>
      </x:c>
      <x:c r="D17" s="92" t="str">
        <x:v>Daily or non-daily use; official prevalence, not sales.</x:v>
      </x:c>
      <x:c r="E17" s="92"/>
      <x:c r="F17" s="92"/>
      <x:c r="G17" s="92"/>
      <x:c r="H17" s="93"/>
    </x:row>
    <x:row r="18">
      <x:c r="A18" s="114"/>
      <x:c r="B18" s="114"/>
      <x:c r="C18" s="114"/>
      <x:c r="D18" s="114"/>
      <x:c r="E18" s="114"/>
      <x:c r="F18" s="114"/>
      <x:c r="G18" s="114"/>
      <x:c r="H18" s="114"/>
    </x:row>
    <x:row r="19">
      <x:c r="A19" s="116" t="str">
        <x:v>Model status</x:v>
      </x:c>
      <x:c r="B19" s="117" t="str">
        <x:f>IF(COUNTIF(F22:F27,"OK")=5,"OK","REVIEW")</x:f>
        <x:v>REVIEW</x:v>
      </x:c>
      <x:c r="C19" s="114"/>
      <x:c r="D19" s="114"/>
      <x:c r="E19" s="114"/>
      <x:c r="F19" s="114"/>
      <x:c r="G19" s="114"/>
      <x:c r="H19" s="114"/>
    </x:row>
    <x:row r="20">
      <x:c r="A20" s="114"/>
      <x:c r="B20" s="114"/>
      <x:c r="C20" s="114"/>
      <x:c r="D20" s="114"/>
      <x:c r="E20" s="114"/>
      <x:c r="F20" s="114"/>
      <x:c r="G20" s="114"/>
      <x:c r="H20" s="114"/>
    </x:row>
    <x:row r="21">
      <x:c r="A21" s="118" t="str">
        <x:v>Audit check</x:v>
      </x:c>
      <x:c r="B21" s="118" t="str">
        <x:v>Actual</x:v>
      </x:c>
      <x:c r="C21" s="118" t="str">
        <x:v>Expected</x:v>
      </x:c>
      <x:c r="D21" s="118" t="str">
        <x:v>Difference</x:v>
      </x:c>
      <x:c r="E21" s="118" t="str">
        <x:v>Tolerance</x:v>
      </x:c>
      <x:c r="F21" s="118" t="str">
        <x:v>Status</x:v>
      </x:c>
      <x:c r="G21" s="118" t="str">
        <x:v>Meaning</x:v>
      </x:c>
      <x:c r="H21" s="118"/>
    </x:row>
    <x:row r="22" ht="42" customHeight="1">
      <x:c r="A22" s="119" t="str">
        <x:v>Total less illegal and legal residual</x:v>
      </x:c>
      <x:c r="B22" s="120" t="n">
        <x:f>'Market Estimate'!B2-'Market Estimate'!B3-'Market Estimate'!B4</x:f>
        <x:v>0</x:v>
      </x:c>
      <x:c r="C22" s="120" t="n">
        <x:v>0</x:v>
      </x:c>
      <x:c r="D22" s="120" t="n">
        <x:f>B22-C22</x:f>
        <x:v>0</x:v>
      </x:c>
      <x:c r="E22" s="120" t="n">
        <x:v>1</x:v>
      </x:c>
      <x:c r="F22" s="79" t="str">
        <x:f>IF(ABS(D22)&lt;=E22,"OK","REVIEW")</x:f>
        <x:v>OK</x:v>
      </x:c>
      <x:c r="G22" s="79" t="str">
        <x:v>Published totals must bridge within EUR 1.</x:v>
      </x:c>
      <x:c r="H22" s="121"/>
    </x:row>
    <x:row r="23" ht="42" customHeight="1">
      <x:c r="A23" s="122" t="str">
        <x:v>Direct 87% method versus reported amount</x:v>
      </x:c>
      <x:c r="B23" s="123" t="n">
        <x:f>'Market Estimate'!B2*87%-'Market Estimate'!B5</x:f>
        <x:v>0.1899999976158142</x:v>
      </x:c>
      <x:c r="C23" s="123" t="n">
        <x:v>0</x:v>
      </x:c>
      <x:c r="D23" s="123" t="n">
        <x:f>B23-C23</x:f>
        <x:v>0.1899999976158142</x:v>
      </x:c>
      <x:c r="E23" s="123" t="n">
        <x:v>1</x:v>
      </x:c>
      <x:c r="F23" s="84" t="str">
        <x:f>IF(ABS(D23)&lt;=E23,"OK","REVIEW")</x:f>
        <x:v>OK</x:v>
      </x:c>
      <x:c r="G23" s="84" t="str">
        <x:v>Rounded report sensitivity reproduction.</x:v>
      </x:c>
      <x:c r="H23" s="124"/>
    </x:row>
    <x:row r="24" ht="42" customHeight="1">
      <x:c r="A24" s="122" t="str">
        <x:v>Narrow imports WORLD less intra + extra</x:v>
      </x:c>
      <x:c r="B24" s="123" t="n">
        <x:f>'Customs Bridge'!D2-'Customs Bridge'!G2-'Customs Bridge'!H2</x:f>
        <x:v>0</x:v>
      </x:c>
      <x:c r="C24" s="123" t="n">
        <x:v>0</x:v>
      </x:c>
      <x:c r="D24" s="123" t="n">
        <x:f>B24-C24</x:f>
        <x:v>0</x:v>
      </x:c>
      <x:c r="E24" s="123" t="n">
        <x:v>0</x:v>
      </x:c>
      <x:c r="F24" s="84" t="str">
        <x:f>IF(ABS(D24)&lt;=E24,"OK","REVIEW")</x:f>
        <x:v>OK</x:v>
      </x:c>
      <x:c r="G24" s="84" t="str">
        <x:v>Eurostat import route must reconcile.</x:v>
      </x:c>
      <x:c r="H24" s="124"/>
    </x:row>
    <x:row r="25" ht="42" customHeight="1">
      <x:c r="A25" s="122" t="str">
        <x:v>Narrow exports WORLD less intra + extra</x:v>
      </x:c>
      <x:c r="B25" s="123" t="n">
        <x:f>'Customs Bridge'!E2-'Customs Bridge'!I2-'Customs Bridge'!J2</x:f>
        <x:v>0</x:v>
      </x:c>
      <x:c r="C25" s="123" t="n">
        <x:v>0</x:v>
      </x:c>
      <x:c r="D25" s="123" t="n">
        <x:f>B25-C25</x:f>
        <x:v>0</x:v>
      </x:c>
      <x:c r="E25" s="123" t="n">
        <x:v>0</x:v>
      </x:c>
      <x:c r="F25" s="84" t="str">
        <x:f>IF(ABS(D25)&lt;=E25,"OK","REVIEW")</x:f>
        <x:v>OK</x:v>
      </x:c>
      <x:c r="G25" s="84" t="str">
        <x:v>Eurostat export route must reconcile.</x:v>
      </x:c>
      <x:c r="H25" s="124"/>
    </x:row>
    <x:row r="26" ht="42" customHeight="1">
      <x:c r="A26" s="122" t="str">
        <x:v>Youth report input minus cited point estimate</x:v>
      </x:c>
      <x:c r="B26" s="125" t="n">
        <x:f>'Youth Prevalence'!C2-'Youth Prevalence'!C3</x:f>
        <x:v>-0.018000000000000016</x:v>
      </x:c>
      <x:c r="C26" s="125" t="n">
        <x:v>0</x:v>
      </x:c>
      <x:c r="D26" s="125" t="n">
        <x:f>B26-C26</x:f>
        <x:v>-0.018000000000000016</x:v>
      </x:c>
      <x:c r="E26" s="125" t="n">
        <x:v>0</x:v>
      </x:c>
      <x:c r="F26" s="84" t="str">
        <x:f>IF(ABS(D26)&lt;=E26,"OK","REVIEW")</x:f>
        <x:v>REVIEW</x:v>
      </x:c>
      <x:c r="G26" s="84" t="str">
        <x:v>22.8% equals lower CI bound; source point is 24.6%.</x:v>
      </x:c>
      <x:c r="H26" s="124"/>
    </x:row>
    <x:row r="27" ht="42" customHeight="1">
      <x:c r="A27" s="126" t="str">
        <x:v>Exact EUR estimate reproduction</x:v>
      </x:c>
      <x:c r="B27" s="91"/>
      <x:c r="C27" s="91"/>
      <x:c r="D27" s="91"/>
      <x:c r="E27" s="91"/>
      <x:c r="F27" s="127" t="str">
        <x:v>LIMITATION</x:v>
      </x:c>
      <x:c r="G27" s="91" t="str">
        <x:v>Unpublished age cells and syntax; requested in PX-NL-001.</x:v>
      </x:c>
      <x:c r="H27" s="128"/>
    </x:row>
    <x:row r="28">
      <x:c r="A28" s="114"/>
      <x:c r="B28" s="114"/>
      <x:c r="C28" s="114"/>
      <x:c r="D28" s="114"/>
      <x:c r="E28" s="114"/>
      <x:c r="F28" s="114"/>
      <x:c r="G28" s="114"/>
      <x:c r="H28" s="114"/>
    </x:row>
    <x:row r="29">
      <x:c r="A29" s="129" t="str">
        <x:v>Evidence boundary</x:v>
      </x:c>
      <x:c r="B29" s="129"/>
      <x:c r="C29" s="129"/>
      <x:c r="D29" s="129"/>
      <x:c r="E29" s="129"/>
      <x:c r="F29" s="129"/>
      <x:c r="G29" s="129"/>
      <x:c r="H29" s="129"/>
    </x:row>
    <x:row r="30">
      <x:c r="A30" s="130" t="str">
        <x:v>• EUR 281.548m is a government-commissioned model estimate, not an official retail census, tax return or audited company turnover.</x:v>
      </x:c>
      <x:c r="B30" s="130"/>
      <x:c r="C30" s="130"/>
      <x:c r="D30" s="130"/>
      <x:c r="E30" s="130"/>
      <x:c r="F30" s="130"/>
      <x:c r="G30" s="130"/>
      <x:c r="H30" s="130"/>
    </x:row>
    <x:row r="31">
      <x:c r="A31" s="131" t="str">
        <x:v>• The study corrected its own 9.1% prevalence because CBS reports 3.5%; the rejected uncorrected extrapolation was EUR 576.516m.</x:v>
      </x:c>
      <x:c r="B31" s="131"/>
      <x:c r="C31" s="131"/>
      <x:c r="D31" s="131"/>
      <x:c r="E31" s="131"/>
      <x:c r="F31" s="131"/>
      <x:c r="G31" s="131"/>
      <x:c r="H31" s="131"/>
    </x:row>
    <x:row r="32">
      <x:c r="A32" s="130" t="str">
        <x:v>• For ages 12-16 the report uses 22.8%, which is the cited table's lower 95% bound; the point estimate is 24.6% and the report gives no explanation.</x:v>
      </x:c>
      <x:c r="B32" s="130"/>
      <x:c r="C32" s="130"/>
      <x:c r="D32" s="130"/>
      <x:c r="E32" s="130"/>
      <x:c r="F32" s="130"/>
      <x:c r="G32" s="130"/>
      <x:c r="H32" s="130"/>
    </x:row>
    <x:row r="33">
      <x:c r="A33" s="131" t="str">
        <x:v>• The 87% figure is the incidence of at least one illegal indicator among weighted vapers, not unit share or revenue share.</x:v>
      </x:c>
      <x:c r="B33" s="131"/>
      <x:c r="C33" s="131"/>
      <x:c r="D33" s="131"/>
      <x:c r="E33" s="131"/>
      <x:c r="F33" s="131"/>
      <x:c r="G33" s="131"/>
      <x:c r="H33" s="131"/>
    </x:row>
    <x:row r="34">
      <x:c r="A34" s="130" t="str">
        <x:v>• The interview metadata conflict: four versus two dealers and maximum age 28 versus 29; this affects qualitative audit confidence.</x:v>
      </x:c>
      <x:c r="B34" s="130"/>
      <x:c r="C34" s="130"/>
      <x:c r="D34" s="130"/>
      <x:c r="E34" s="130"/>
      <x:c r="F34" s="130"/>
      <x:c r="G34" s="130"/>
      <x:c r="H34" s="130"/>
    </x:row>
    <x:row r="35">
      <x:c r="A35" s="131" t="str">
        <x:v>• Eurostat CN values are border trade. Extra-EU import partner is origin, intra-EU import partner is consignment, and Rotterdam routing prevents a domestic-demand conversion.</x:v>
      </x:c>
      <x:c r="B35" s="131"/>
      <x:c r="C35" s="131"/>
      <x:c r="D35" s="131"/>
      <x:c r="E35" s="131"/>
      <x:c r="F35" s="131"/>
      <x:c r="G35" s="131"/>
      <x:c r="H35" s="131"/>
    </x:row>
    <x:row r="36">
      <x:c r="A36" s="130" t="str">
        <x:v>• PX-NL-001 asks VWS for aggregate age cells, SPSS syntax, uncertainty analysis and 2021-2025 Article 20(7) units/ml/value. No email has been sent.</x:v>
      </x:c>
      <x:c r="B36" s="130"/>
      <x:c r="C36" s="130"/>
      <x:c r="D36" s="130"/>
      <x:c r="E36" s="130"/>
      <x:c r="F36" s="130"/>
      <x:c r="G36" s="130"/>
      <x:c r="H36" s="130"/>
    </x:row>
  </x:sheetData>
  <x:mergeCells>
    <x:mergeCell ref="A1:H2"/>
    <x:mergeCell ref="A3:H3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  <x:mergeCell ref="G21:H21"/>
    <x:mergeCell ref="G22:H22"/>
    <x:mergeCell ref="G23:H23"/>
    <x:mergeCell ref="G24:H24"/>
    <x:mergeCell ref="G25:H25"/>
    <x:mergeCell ref="G26:H26"/>
    <x:mergeCell ref="G27:H27"/>
    <x:mergeCell ref="A29:H29"/>
    <x:mergeCell ref="A30:H30"/>
    <x:mergeCell ref="A31:H31"/>
    <x:mergeCell ref="A32:H32"/>
    <x:mergeCell ref="A33:H33"/>
    <x:mergeCell ref="A34:H34"/>
    <x:mergeCell ref="A35:H35"/>
    <x:mergeCell ref="A36:H36"/>
  </x:mergeCells>
  <x:conditionalFormatting sqref="F22:F26">
    <x:cfRule type="expression" dxfId="0" priority="1">
      <x:formula>F22="OK"</x:formula>
    </x:cfRule>
    <x:cfRule type="expression" dxfId="1" priority="2">
      <x:formula>F22="REVIEW"</x:formula>
    </x:cfRule>
  </x:conditionalFormatting>
  <x:pageMargins left="0.7" right="0.7" top="0.75" bottom="0.75" header="0.3" footer="0.3"/>
  <x:legacyDrawing xmlns:r="http://schemas.openxmlformats.org/officeDocument/2006/relationships" r:id="R26dd26437f68429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26.399999618530273" hidden="0" customHeight="1">
      <x:c r="A1" s="138" t="str">
        <x:v>metric</x:v>
      </x:c>
      <x:c r="B1" s="139" t="str">
        <x:v>value_eur</x:v>
      </x:c>
      <x:c r="C1" s="139" t="str">
        <x:v>share_of_total_pct</x:v>
      </x:c>
      <x:c r="D1" s="139" t="str">
        <x:v>calculation</x:v>
      </x:c>
      <x:c r="E1" s="139" t="str">
        <x:v>evidence_status</x:v>
      </x:c>
      <x:c r="F1" s="139" t="str">
        <x:v>source_page</x:v>
      </x:c>
      <x:c r="G1" s="139" t="str">
        <x:v>source_url</x:v>
      </x:c>
      <x:c r="H1" s="140" t="str">
        <x:v>boundary</x:v>
      </x:c>
    </x:row>
    <x:row r="2" ht="86.4000015258789" hidden="0" customHeight="1">
      <x:c r="A2" s="160" t="str">
        <x:v>reported_total_consumer_spend</x:v>
      </x:c>
      <x:c r="B2" s="169" t="n">
        <x:v>281548137</x:v>
      </x:c>
      <x:c r="C2" s="172" t="n">
        <x:v>1</x:v>
      </x:c>
      <x:c r="D2" s="161" t="str">
        <x:v>reported age-group extrapolation</x:v>
      </x:c>
      <x:c r="E2" s="161" t="str">
        <x:v>commissioned_research_estimate</x:v>
      </x:c>
      <x:c r="F2" s="161" t="str">
        <x:v>64-65</x:v>
      </x:c>
      <x:c r="G2" s="161" t="str">
        <x:v>https://www.tweedekamer.nl/downloads/document?id=2026D17119</x:v>
      </x:c>
      <x:c r="H2" s="162" t="str">
        <x:v>consumer expenditure estimate; not official tax return, retail census or customs value</x:v>
      </x:c>
    </x:row>
    <x:row r="3" ht="97.19999694824219" hidden="0" customHeight="1">
      <x:c r="A3" s="163" t="str">
        <x:v>reported_illegal_consumer_spend_age_specific</x:v>
      </x:c>
      <x:c r="B3" s="170" t="n">
        <x:v>256865383</x:v>
      </x:c>
      <x:c r="C3" s="173" t="n">
        <x:v>0.9123320300000001</x:v>
      </x:c>
      <x:c r="D3" s="164" t="str">
        <x:v>age-group-specific illegal-user shares applied to age-group expenditure</x:v>
      </x:c>
      <x:c r="E3" s="164" t="str">
        <x:v>commissioned_research_estimate</x:v>
      </x:c>
      <x:c r="F3" s="164" t="str">
        <x:v>71-72</x:v>
      </x:c>
      <x:c r="G3" s="164" t="str">
        <x:v>https://www.tweedekamer.nl/downloads/document?id=2026D17119</x:v>
      </x:c>
      <x:c r="H3" s="165" t="str">
        <x:v>includes a legally ambiguous foreign-purchase middle category in the report's 87% user classification</x:v>
      </x:c>
    </x:row>
    <x:row r="4" ht="86.4000015258789" hidden="0" customHeight="1">
      <x:c r="A4" s="163" t="str">
        <x:v>derived_legal_consumer_spend_residual</x:v>
      </x:c>
      <x:c r="B4" s="170" t="n">
        <x:v>24682754</x:v>
      </x:c>
      <x:c r="C4" s="173" t="n">
        <x:v>0.08766797</x:v>
      </x:c>
      <x:c r="D4" s="164" t="str">
        <x:v>281548137-256865383</x:v>
      </x:c>
      <x:c r="E4" s="164" t="str">
        <x:v>derived_from_reported_estimates</x:v>
      </x:c>
      <x:c r="F4" s="164" t="str">
        <x:v>72</x:v>
      </x:c>
      <x:c r="G4" s="164" t="str">
        <x:v>https://www.tweedekamer.nl/downloads/document?id=2026D17119</x:v>
      </x:c>
      <x:c r="H4" s="165" t="str">
        <x:v>residual of two rounded/modelled estimates; not audited legal retail turnover</x:v>
      </x:c>
    </x:row>
    <x:row r="5" ht="86.4000015258789" hidden="0" customHeight="1">
      <x:c r="A5" s="163" t="str">
        <x:v>reported_direct_illegal_87pct_method</x:v>
      </x:c>
      <x:c r="B5" s="170" t="n">
        <x:v>244946879</x:v>
      </x:c>
      <x:c r="C5" s="173" t="n">
        <x:v>0.87</x:v>
      </x:c>
      <x:c r="D5" s="164" t="str">
        <x:v>reported total multiplied by 87% user incidence</x:v>
      </x:c>
      <x:c r="E5" s="164" t="str">
        <x:v>reported_sensitivity_method</x:v>
      </x:c>
      <x:c r="F5" s="164" t="str">
        <x:v>71</x:v>
      </x:c>
      <x:c r="G5" s="164" t="str">
        <x:v>https://www.tweedekamer.nl/downloads/document?id=2026D17119</x:v>
      </x:c>
      <x:c r="H5" s="165" t="str">
        <x:v>user incidence is not a transaction-weighted or expenditure-weighted market share</x:v>
      </x:c>
    </x:row>
    <x:row r="6" ht="64.80000305175781" hidden="0" customHeight="1">
      <x:c r="A6" s="163" t="str">
        <x:v>derived_direct_legal_residual</x:v>
      </x:c>
      <x:c r="B6" s="170" t="n">
        <x:v>36601258</x:v>
      </x:c>
      <x:c r="C6" s="173" t="n">
        <x:v>0.13</x:v>
      </x:c>
      <x:c r="D6" s="164" t="str">
        <x:v>281548137-244946879</x:v>
      </x:c>
      <x:c r="E6" s="164" t="str">
        <x:v>derived_from_reported_sensitivity</x:v>
      </x:c>
      <x:c r="F6" s="164" t="str">
        <x:v>71</x:v>
      </x:c>
      <x:c r="G6" s="164" t="str">
        <x:v>https://www.tweedekamer.nl/downloads/document?id=2026D17119</x:v>
      </x:c>
      <x:c r="H6" s="165" t="str">
        <x:v>mechanical residual; not an official legal-sales measure</x:v>
      </x:c>
    </x:row>
    <x:row r="7" ht="86.4000015258789" hidden="0" customHeight="1">
      <x:c r="A7" s="163" t="str">
        <x:v>derived_age_specific_vs_direct_illegal_delta</x:v>
      </x:c>
      <x:c r="B7" s="170" t="n">
        <x:v>11918504</x:v>
      </x:c>
      <x:c r="C7" s="173" t="n">
        <x:v>0.04865751</x:v>
      </x:c>
      <x:c r="D7" s="164" t="str">
        <x:v>256865383-244946879</x:v>
      </x:c>
      <x:c r="E7" s="164" t="str">
        <x:v>derived_method_sensitivity</x:v>
      </x:c>
      <x:c r="F7" s="164" t="str">
        <x:v>71-72</x:v>
      </x:c>
      <x:c r="G7" s="164" t="str">
        <x:v>https://www.tweedekamer.nl/downloads/document?id=2026D17119</x:v>
      </x:c>
      <x:c r="H7" s="165" t="str">
        <x:v>difference between two report methods, not an error estimate or confidence interval</x:v>
      </x:c>
    </x:row>
    <x:row r="8" ht="108" hidden="0" customHeight="1">
      <x:c r="A8" s="166" t="str">
        <x:v>reported_uncorrected_ipsos_extrapolation</x:v>
      </x:c>
      <x:c r="B8" s="171" t="n">
        <x:v>576515645</x:v>
      </x:c>
      <x:c r="C8" s="174" t="n">
        <x:v>2.04766279</x:v>
      </x:c>
      <x:c r="D8" s="167" t="str">
        <x:v>Ipsos 9.1% prevalence and approximately EUR 35 monthly spend before external prevalence correction</x:v>
      </x:c>
      <x:c r="E8" s="167" t="str">
        <x:v>rejected_by_report_as_too_high</x:v>
      </x:c>
      <x:c r="F8" s="167" t="str">
        <x:v>193</x:v>
      </x:c>
      <x:c r="G8" s="167" t="str">
        <x:v>https://www.tweedekamer.nl/downloads/document?id=2026D17119</x:v>
      </x:c>
      <x:c r="H8" s="168" t="str">
        <x:v>diagnostic alternative only; report explicitly did not adopt it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58" hidden="0" customWidth="1"/>
    <x:col min="4" max="4" width="58" hidden="0" customWidth="1"/>
    <x:col min="5" max="5" width="24" hidden="0" customWidth="1"/>
    <x:col min="6" max="6" width="64" hidden="0" customWidth="1"/>
  </x:cols>
  <x:sheetData>
    <x:row r="1" ht="26.399999618530273" hidden="0" customHeight="1">
      <x:c r="A1" s="138" t="str">
        <x:v>audit_item</x:v>
      </x:c>
      <x:c r="B1" s="139" t="str">
        <x:v>observed_value</x:v>
      </x:c>
      <x:c r="C1" s="139" t="str">
        <x:v>audit_result</x:v>
      </x:c>
      <x:c r="D1" s="139" t="str">
        <x:v>bank_use</x:v>
      </x:c>
      <x:c r="E1" s="139" t="str">
        <x:v>source_page</x:v>
      </x:c>
      <x:c r="F1" s="140" t="str">
        <x:v>source_url</x:v>
      </x:c>
    </x:row>
    <x:row r="2" ht="118.80000305175781" hidden="0" customHeight="1">
      <x:c r="A2" s="160" t="str">
        <x:v>commissioning_and_authority</x:v>
      </x:c>
      <x:c r="B2" s="161" t="str">
        <x:v>Commissioned by Netherlands Ministry of Health, Welfare and Sport; Bureau Beke authors responsible</x:v>
      </x:c>
      <x:c r="C2" s="161" t="str">
        <x:v>confirmed_commissioned_secondary_evidence</x:v>
      </x:c>
      <x:c r="D2" s="161" t="str">
        <x:v>strong provenance for a government-commissioned estimate, but not an official statistical-series certification</x:v>
      </x:c>
      <x:c r="E2" s="161" t="str">
        <x:v>colophon; 15-16</x:v>
      </x:c>
      <x:c r="F2" s="162" t="str">
        <x:v>https://www.tweedekamer.nl/downloads/document?id=2026D17119</x:v>
      </x:c>
    </x:row>
    <x:row r="3" ht="86.4000015258789" hidden="0" customHeight="1">
      <x:c r="A3" s="163" t="str">
        <x:v>population_survey_total</x:v>
      </x:c>
      <x:c r="B3" s="164" t="str">
        <x:v>5529 weighted respondents; target population 16458145 persons aged 10+</x:v>
      </x:c>
      <x:c r="C3" s="164" t="str">
        <x:v>confirmed</x:v>
      </x:c>
      <x:c r="D3" s="164" t="str">
        <x:v>documents the overall survey base</x:v>
      </x:c>
      <x:c r="E3" s="164" t="str">
        <x:v>191-192</x:v>
      </x:c>
      <x:c r="F3" s="165" t="str">
        <x:v>https://www.tweedekamer.nl/downloads/document?id=2026D17119</x:v>
      </x:c>
    </x:row>
    <x:row r="4" ht="118.80000305175781" hidden="0" customHeight="1">
      <x:c r="A4" s="163" t="str">
        <x:v>vaper_screen_hit_rate</x:v>
      </x:c>
      <x:c r="B4" s="164" t="str">
        <x:v>443 raw vapers / 5529 total = 8.012299%; weighted vaper count 501 / 5529 = 9.061313%</x:v>
      </x:c>
      <x:c r="C4" s="164" t="str">
        <x:v>recalculated</x:v>
      </x:c>
      <x:c r="D4" s="164" t="str">
        <x:v>use raw n=443 for respondent-count precision; weighted n=501 is an analysis weight, not 501 distinct people</x:v>
      </x:c>
      <x:c r="E4" s="164" t="str">
        <x:v>193</x:v>
      </x:c>
      <x:c r="F4" s="165" t="str">
        <x:v>https://www.tweedekamer.nl/downloads/document?id=2026D17119</x:v>
      </x:c>
    </x:row>
    <x:row r="5" ht="140.39999389648438" hidden="0" customHeight="1">
      <x:c r="A5" s="163" t="str">
        <x:v>survey_response_rate</x:v>
      </x:c>
      <x:c r="B5" s="164" t="str">
        <x:v>not reproducible from report; it states a 3000-response first phase and 6000 additional invitations but no complete invitation/disposition table</x:v>
      </x:c>
      <x:c r="C5" s="164" t="str">
        <x:v>missing_denominator</x:v>
      </x:c>
      <x:c r="D5" s="164" t="str">
        <x:v>do not report a survey response hit rate</x:v>
      </x:c>
      <x:c r="E5" s="164" t="str">
        <x:v>192-193</x:v>
      </x:c>
      <x:c r="F5" s="165" t="str">
        <x:v>https://www.tweedekamer.nl/downloads/document?id=2026D17119</x:v>
      </x:c>
    </x:row>
    <x:row r="6" ht="97.19999694824219" hidden="0" customHeight="1">
      <x:c r="A6" s="163" t="str">
        <x:v>weighting</x:v>
      </x:c>
      <x:c r="B6" s="164" t="str">
        <x:v>Ipsos weight 0.58-1.58 for age, sex and education; under-16 respondents assigned weight 1</x:v>
      </x:c>
      <x:c r="C6" s="164" t="str">
        <x:v>confirmed_with_youth_limitation</x:v>
      </x:c>
      <x:c r="D6" s="164" t="str">
        <x:v>adult representativeness adjusted; under-16 subgroup is not equivalently weighted</x:v>
      </x:c>
      <x:c r="E6" s="164" t="str">
        <x:v>190-191</x:v>
      </x:c>
      <x:c r="F6" s="165" t="str">
        <x:v>https://www.tweedekamer.nl/downloads/document?id=2026D17119</x:v>
      </x:c>
    </x:row>
    <x:row r="7" ht="97.19999694824219" hidden="0" customHeight="1">
      <x:c r="A7" s="163" t="str">
        <x:v>prevalence_overrepresentation_correction</x:v>
      </x:c>
      <x:c r="B7" s="164" t="str">
        <x:v>Ipsos 9.1% versus CBS 3.5%; ratio 2.6x; uncorrected EUR 576,515,645 rejected as too high</x:v>
      </x:c>
      <x:c r="C7" s="164" t="str">
        <x:v>confirmed_and_quantified</x:v>
      </x:c>
      <x:c r="D7" s="164" t="str">
        <x:v>supports using the corrected EUR 281.548m estimate instead of the raw Ipsos extrapolation</x:v>
      </x:c>
      <x:c r="E7" s="164" t="str">
        <x:v>193-195</x:v>
      </x:c>
      <x:c r="F7" s="165" t="str">
        <x:v>https://www.tweedekamer.nl/downloads/document?id=2026D17119</x:v>
      </x:c>
    </x:row>
    <x:row r="8" ht="172.8000030517578" hidden="0" customHeight="1">
      <x:c r="A8" s="163" t="str">
        <x:v>cbs_prevalence_source_reproduction</x:v>
      </x:c>
      <x:c r="B8" s="164" t="str">
        <x:v>CBS 2024 point estimates independently reproduced: total 3.5%; ages 16-20 13.2%, 20-30 6.9%, 30-40 4.4%, 40-50 2.4%, 50-55 3.8%, 55-65 1.3%, 65-75 0.6%, 75+ 0.3%</x:v>
      </x:c>
      <x:c r="C8" s="164" t="str">
        <x:v>exact_match_to_report</x:v>
      </x:c>
      <x:c r="D8" s="164" t="str">
        <x:v>supports the adult prevalence inputs and preserves their 95% confidence bounds</x:v>
      </x:c>
      <x:c r="E8" s="164" t="str">
        <x:v>report 193-195; CBS table 85457NED</x:v>
      </x:c>
      <x:c r="F8" s="165" t="str">
        <x:v>https://opendata.cbs.nl/ODataApi/OData/85457NED/TypedDataSet?$filter=Perioden%20eq%20%272024JJ00%27&amp;$select=Persoonskenmerken,Perioden,Marges,ESigaret12JaarOfOuder_14</x:v>
      </x:c>
    </x:row>
    <x:row r="9" ht="97.19999694824219" hidden="0" customHeight="1">
      <x:c r="A9" s="163" t="str">
        <x:v>age_prevalence_source_mix</x:v>
      </x:c>
      <x:c r="B9" s="164" t="str">
        <x:v>10-12 Ipsos 1.6%; 12-16 ScholierenMonitor 22.8%; 16+ CBS Health Survey age rates</x:v>
      </x:c>
      <x:c r="C9" s="164" t="str">
        <x:v>confirmed_definition_mismatch</x:v>
      </x:c>
      <x:c r="D9" s="164" t="str">
        <x:v>main estimate is a model combining sources, not one homogeneous probability sample</x:v>
      </x:c>
      <x:c r="E9" s="164" t="str">
        <x:v>193-195</x:v>
      </x:c>
      <x:c r="F9" s="165" t="str">
        <x:v>https://www.tweedekamer.nl/downloads/document?id=2026D17119</x:v>
      </x:c>
    </x:row>
    <x:row r="10" ht="151.1999969482422" hidden="0" customHeight="1">
      <x:c r="A10" s="163" t="str">
        <x:v>scholierenmonitor_point_estimate_check</x:v>
      </x:c>
      <x:c r="B10" s="164" t="str">
        <x:v>Report uses 22.8% for ages 12-16; cited Trimbos table reports point estimate 24.6% with 95% CI 22.8-26.4%</x:v>
      </x:c>
      <x:c r="C10" s="164" t="str">
        <x:v>report_input_matches_lower_confidence_bound_not_point_estimate</x:v>
      </x:c>
      <x:c r="D10" s="164" t="str">
        <x:v>ask whether the lower bound was an intentional conservative choice or a transcription error; exact EUR impact cannot be computed from published cells</x:v>
      </x:c>
      <x:c r="E10" s="164" t="str">
        <x:v>report 65 and 193-195; Trimbos table 2023</x:v>
      </x:c>
      <x:c r="F10" s="165" t="str">
        <x:v>https://cijfers.trimbos.nl/scholierenmonitor/vape-snus-en-waterpijp/cijfers-2023-12-16-jaar-vape-snus-waterpijp/</x:v>
      </x:c>
    </x:row>
    <x:row r="11" ht="151.1999969482422" hidden="0" customHeight="1">
      <x:c r="A11" s="163" t="str">
        <x:v>prevalence_definition_consistency</x:v>
      </x:c>
      <x:c r="B11" s="164" t="str">
        <x:v>ScholierenMonitor value is described as ever-vaped while monthly expenditure is applied to paying respondents; CBS/Ipsos wording differs</x:v>
      </x:c>
      <x:c r="C11" s="164" t="str">
        <x:v>material_model_risk</x:v>
      </x:c>
      <x:c r="D11" s="164" t="str">
        <x:v>do not present EUR 281.548m as a point fact without a sensitivity range</x:v>
      </x:c>
      <x:c r="E11" s="164" t="str">
        <x:v>193-195; 64-65</x:v>
      </x:c>
      <x:c r="F11" s="165" t="str">
        <x:v>https://www.tweedekamer.nl/downloads/document?id=2026D17119</x:v>
      </x:c>
    </x:row>
    <x:row r="12" ht="162" hidden="0" customHeight="1">
      <x:c r="A12" s="163" t="str">
        <x:v>exact_reproducibility</x:v>
      </x:c>
      <x:c r="B12" s="164" t="str">
        <x:v>Age-specific respondent counts, mean monthly spend cells, illegal shares, design effects and SPSS syntax are not published with the report</x:v>
      </x:c>
      <x:c r="C12" s="164" t="str">
        <x:v>not_fully_reproducible</x:v>
      </x:c>
      <x:c r="D12" s="164" t="str">
        <x:v>retain as commissioned estimate and request aggregate calculation table/syntax before upgrading confidence</x:v>
      </x:c>
      <x:c r="E12" s="164" t="str">
        <x:v>64-65; 193-195</x:v>
      </x:c>
      <x:c r="F12" s="165" t="str">
        <x:v>https://www.tweedekamer.nl/downloads/document?id=2026D17119</x:v>
      </x:c>
    </x:row>
    <x:row r="13" ht="86.4000015258789" hidden="0" customHeight="1">
      <x:c r="A13" s="163" t="str">
        <x:v>statistical_testing</x:v>
      </x:c>
      <x:c r="B13" s="164" t="str">
        <x:v>SPSS, chi-square p&lt;0.05, expected-cell rules and Bonferroni follow-up are described</x:v>
      </x:c>
      <x:c r="C13" s="164" t="str">
        <x:v>confirmed_for_group_comparisons</x:v>
      </x:c>
      <x:c r="D13" s="164" t="str">
        <x:v>does not provide a confidence interval for the EUR market estimate</x:v>
      </x:c>
      <x:c r="E13" s="164" t="str">
        <x:v>195</x:v>
      </x:c>
      <x:c r="F13" s="165" t="str">
        <x:v>https://www.tweedekamer.nl/downloads/document?id=2026D17119</x:v>
      </x:c>
    </x:row>
    <x:row r="14" ht="162" hidden="0" customHeight="1">
      <x:c r="A14" s="163" t="str">
        <x:v>triangulation</x:v>
      </x:c>
      <x:c r="B14" s="164" t="str">
        <x:v>122 social-media advertisements; 45 professionals/27 interviews; 38 social workers; 20 young people; each research question uses at least two activities</x:v>
      </x:c>
      <x:c r="C14" s="164" t="str">
        <x:v>confirmed_qualitative_triangulation</x:v>
      </x:c>
      <x:c r="D14" s="164" t="str">
        <x:v>strengthens mechanism/channel evidence but is not a probability-based market-volume validation</x:v>
      </x:c>
      <x:c r="E14" s="164" t="str">
        <x:v>15-16; 188-199</x:v>
      </x:c>
      <x:c r="F14" s="165" t="str">
        <x:v>https://www.tweedekamer.nl/downloads/document?id=2026D17119</x:v>
      </x:c>
    </x:row>
    <x:row r="15" ht="97.19999694824219" hidden="0" customHeight="1">
      <x:c r="A15" s="163" t="str">
        <x:v>social_worker_questionnaire_hit_rate</x:v>
      </x:c>
      <x:c r="B15" s="164" t="str">
        <x:v>38 responses from a WhatsApp group of approximately 400 = approximately 9.5%</x:v>
      </x:c>
      <x:c r="C15" s="164" t="str">
        <x:v>approximate_convenience_response_rate</x:v>
      </x:c>
      <x:c r="D15" s="164" t="str">
        <x:v>not representative; denominator itself is approximate</x:v>
      </x:c>
      <x:c r="E15" s="164" t="str">
        <x:v>197</x:v>
      </x:c>
      <x:c r="F15" s="165" t="str">
        <x:v>https://www.tweedekamer.nl/downloads/document?id=2026D17119</x:v>
      </x:c>
    </x:row>
    <x:row r="16" ht="129.60000610351562" hidden="0" customHeight="1">
      <x:c r="A16" s="163" t="str">
        <x:v>youth_interview_internal_consistency</x:v>
      </x:c>
      <x:c r="B16" s="164" t="str">
        <x:v>Main method section says 20 youth including 4 dealers aged 16-28; appendix says 20 including 2 dealers and ages up to 29</x:v>
      </x:c>
      <x:c r="C16" s="164" t="str">
        <x:v>internal_inconsistency_requires_clarification</x:v>
      </x:c>
      <x:c r="D16" s="164" t="str">
        <x:v>does not change the consumer estimate directly, but lowers confidence in qualitative sample metadata</x:v>
      </x:c>
      <x:c r="E16" s="164" t="str">
        <x:v>16; 198</x:v>
      </x:c>
      <x:c r="F16" s="165" t="str">
        <x:v>https://www.tweedekamer.nl/downloads/document?id=2026D17119</x:v>
      </x:c>
    </x:row>
    <x:row r="17" ht="140.39999389648438" hidden="0" customHeight="1">
      <x:c r="A17" s="166" t="str">
        <x:v>illegal_market_classification</x:v>
      </x:c>
      <x:c r="B17" s="167" t="str">
        <x:v>87% of weighted vapers met at least one product/channel indicator; 9% were foreign-purchase middle-category cases</x:v>
      </x:c>
      <x:c r="C17" s="167" t="str">
        <x:v>confirmed_with_legal_boundary</x:v>
      </x:c>
      <x:c r="D17" s="167" t="str">
        <x:v>user incidence is not illegal unit share or illegal revenue share; foreign physical purchases are legally ambiguous in the report</x:v>
      </x:c>
      <x:c r="E17" s="167" t="str">
        <x:v>66-72</x:v>
      </x:c>
      <x:c r="F17" s="168" t="str">
        <x:v>https://www.tweedekamer.nl/downloads/document?id=2026D17119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</x:cols>
  <x:sheetData>
    <x:row r="1" ht="39.599998474121094" hidden="0" customHeight="1">
      <x:c r="A1" s="138" t="str">
        <x:v>product_type</x:v>
      </x:c>
      <x:c r="B1" s="139" t="str">
        <x:v>average_price_eur</x:v>
      </x:c>
      <x:c r="C1" s="139" t="str">
        <x:v>reported_n</x:v>
      </x:c>
      <x:c r="D1" s="139" t="str">
        <x:v>purchase_frequency</x:v>
      </x:c>
      <x:c r="E1" s="139" t="str">
        <x:v>source_page</x:v>
      </x:c>
      <x:c r="F1" s="139" t="str">
        <x:v>source_url</x:v>
      </x:c>
      <x:c r="G1" s="140" t="str">
        <x:v>boundary</x:v>
      </x:c>
    </x:row>
    <x:row r="2" ht="64.80000305175781" hidden="0" customHeight="1">
      <x:c r="A2" s="160" t="str">
        <x:v>disposable_vape</x:v>
      </x:c>
      <x:c r="B2" s="175" t="n">
        <x:v>10.5</x:v>
      </x:c>
      <x:c r="C2" s="178" t="n">
        <x:v>297</x:v>
      </x:c>
      <x:c r="D2" s="161" t="str">
        <x:v>average 2 per month</x:v>
      </x:c>
      <x:c r="E2" s="161" t="str">
        <x:v>61-62</x:v>
      </x:c>
      <x:c r="F2" s="161" t="str">
        <x:v>https://www.tweedekamer.nl/downloads/document?id=2026D17119</x:v>
      </x:c>
      <x:c r="G2" s="162" t="str">
        <x:v>self-reported; seven respondents received free/shared products</x:v>
      </x:c>
    </x:row>
    <x:row r="3" ht="75.5999984741211" hidden="0" customHeight="1">
      <x:c r="A3" s="163" t="str">
        <x:v>refillable_or_smart_vape</x:v>
      </x:c>
      <x:c r="B3" s="176" t="n">
        <x:v>18.5</x:v>
      </x:c>
      <x:c r="C3" s="179" t="n">
        <x:v>233</x:v>
      </x:c>
      <x:c r="D3" s="164" t="str">
        <x:v>average 5 per year</x:v>
      </x:c>
      <x:c r="E3" s="164" t="str">
        <x:v>62-63</x:v>
      </x:c>
      <x:c r="F3" s="164" t="str">
        <x:v>https://www.tweedekamer.nl/downloads/document?id=2026D17119</x:v>
      </x:c>
      <x:c r="G3" s="165" t="str">
        <x:v>possible confusion with refill liquids; 23 respondents received free products</x:v>
      </x:c>
    </x:row>
    <x:row r="4" ht="97.19999694824219" hidden="0" customHeight="1">
      <x:c r="A4" s="163" t="str">
        <x:v>refill_liquid</x:v>
      </x:c>
      <x:c r="B4" s="176" t="n">
        <x:v>8</x:v>
      </x:c>
      <x:c r="C4" s="179" t="n">
        <x:v>232</x:v>
      </x:c>
      <x:c r="D4" s="164" t="str">
        <x:v>average 4 per month</x:v>
      </x:c>
      <x:c r="E4" s="164" t="str">
        <x:v>63-64</x:v>
      </x:c>
      <x:c r="F4" s="164" t="str">
        <x:v>https://www.tweedekamer.nl/downloads/document?id=2026D17119</x:v>
      </x:c>
      <x:c r="G4" s="165" t="str">
        <x:v>container size and nicotine content not published; 18 respondents received free/shared products</x:v>
      </x:c>
    </x:row>
    <x:row r="5" ht="75.5999984741211" hidden="0" customHeight="1">
      <x:c r="A5" s="166" t="str">
        <x:v>other_including_cannabis_vapes</x:v>
      </x:c>
      <x:c r="B5" s="177" t="n">
        <x:v>54.7</x:v>
      </x:c>
      <x:c r="C5" s="180" t="n">
        <x:v>13</x:v>
      </x:c>
      <x:c r="D5" s="167" t="str">
        <x:v>not published</x:v>
      </x:c>
      <x:c r="E5" s="167" t="str">
        <x:v>64</x:v>
      </x:c>
      <x:c r="F5" s="167" t="str">
        <x:v>https://www.tweedekamer.nl/downloads/document?id=2026D17119</x:v>
      </x:c>
      <x:c r="G5" s="168" t="str">
        <x:v>very small heterogeneous subgroup and includes one IQOS miscoded by a respondent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3" hidden="0" customWidth="1"/>
    <x:col min="4" max="4" width="23" hidden="0" customWidth="1"/>
    <x:col min="5" max="5" width="23" hidden="0" customWidth="1"/>
    <x:col min="6" max="6" width="20" hidden="0" customWidth="1"/>
    <x:col min="7" max="7" width="52" hidden="0" customWidth="1"/>
    <x:col min="8" max="8" width="52" hidden="0" customWidth="1"/>
    <x:col min="9" max="9" width="52" hidden="0" customWidth="1"/>
  </x:cols>
  <x:sheetData>
    <x:row r="1" ht="52.79999923706055" hidden="0" customHeight="1">
      <x:c r="A1" s="138" t="str">
        <x:v>scenario</x:v>
      </x:c>
      <x:c r="B1" s="139" t="str">
        <x:v>price_spend_multiplier</x:v>
      </x:c>
      <x:c r="C1" s="139" t="str">
        <x:v>total_consumer_spend_eur</x:v>
      </x:c>
      <x:c r="D1" s="139" t="str">
        <x:v>illegal_consumer_spend_eur</x:v>
      </x:c>
      <x:c r="E1" s="139" t="str">
        <x:v>legal_residual_eur</x:v>
      </x:c>
      <x:c r="F1" s="139" t="str">
        <x:v>illegal_share_held_constant_pct</x:v>
      </x:c>
      <x:c r="G1" s="139" t="str">
        <x:v>interpretation</x:v>
      </x:c>
      <x:c r="H1" s="139" t="str">
        <x:v>source_url</x:v>
      </x:c>
      <x:c r="I1" s="140" t="str">
        <x:v>boundary</x:v>
      </x:c>
    </x:row>
    <x:row r="2" ht="97.19999694824219" hidden="0" customHeight="1">
      <x:c r="A2" s="160" t="str">
        <x:v>lower_price_20pct</x:v>
      </x:c>
      <x:c r="B2" s="181" t="n">
        <x:v>0.8</x:v>
      </x:c>
      <x:c r="C2" s="169" t="n">
        <x:v>225238510</x:v>
      </x:c>
      <x:c r="D2" s="169" t="n">
        <x:v>205492307</x:v>
      </x:c>
      <x:c r="E2" s="169" t="n">
        <x:v>19746203</x:v>
      </x:c>
      <x:c r="F2" s="172" t="n">
        <x:v>0.9123320300000001</x:v>
      </x:c>
      <x:c r="G2" s="161" t="str">
        <x:v>all price/spend inputs mechanically 20% below reported level</x:v>
      </x:c>
      <x:c r="H2" s="161" t="str">
        <x:v>https://www.tweedekamer.nl/downloads/document?id=2026D17119</x:v>
      </x:c>
      <x:c r="I2" s="162" t="str">
        <x:v>mechanical price sensitivity only; not a confidence interval or empirical low/high estimate</x:v>
      </x:c>
    </x:row>
    <x:row r="3" ht="97.19999694824219" hidden="0" customHeight="1">
      <x:c r="A3" s="163" t="str">
        <x:v>reported_reference</x:v>
      </x:c>
      <x:c r="B3" s="182" t="n">
        <x:v>1</x:v>
      </x:c>
      <x:c r="C3" s="170" t="n">
        <x:v>281548137</x:v>
      </x:c>
      <x:c r="D3" s="170" t="n">
        <x:v>256865383</x:v>
      </x:c>
      <x:c r="E3" s="170" t="n">
        <x:v>24682754</x:v>
      </x:c>
      <x:c r="F3" s="173" t="n">
        <x:v>0.9123320300000001</x:v>
      </x:c>
      <x:c r="G3" s="164" t="str">
        <x:v>published age-group estimate</x:v>
      </x:c>
      <x:c r="H3" s="164" t="str">
        <x:v>https://www.tweedekamer.nl/downloads/document?id=2026D17119</x:v>
      </x:c>
      <x:c r="I3" s="165" t="str">
        <x:v>mechanical price sensitivity only; not a confidence interval or empirical low/high estimate</x:v>
      </x:c>
    </x:row>
    <x:row r="4" ht="97.19999694824219" hidden="0" customHeight="1">
      <x:c r="A4" s="166" t="str">
        <x:v>upper_price_20pct</x:v>
      </x:c>
      <x:c r="B4" s="183" t="n">
        <x:v>1.2</x:v>
      </x:c>
      <x:c r="C4" s="171" t="n">
        <x:v>337857764</x:v>
      </x:c>
      <x:c r="D4" s="171" t="n">
        <x:v>308238459</x:v>
      </x:c>
      <x:c r="E4" s="171" t="n">
        <x:v>29619305</x:v>
      </x:c>
      <x:c r="F4" s="174" t="n">
        <x:v>0.9123320300000001</x:v>
      </x:c>
      <x:c r="G4" s="167" t="str">
        <x:v>all price/spend inputs mechanically 20% above reported level</x:v>
      </x:c>
      <x:c r="H4" s="167" t="str">
        <x:v>https://www.tweedekamer.nl/downloads/document?id=2026D17119</x:v>
      </x:c>
      <x:c r="I4" s="168" t="str">
        <x:v>mechanical price sensitivity only; not a confidence interval or empirical low/high estimate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</x:cols>
  <x:sheetData>
    <x:row r="1" ht="52.79999923706055" hidden="0" customHeight="1">
      <x:c r="A1" s="138" t="str">
        <x:v>scenario</x:v>
      </x:c>
      <x:c r="B1" s="139" t="str">
        <x:v>population_age_12_16</x:v>
      </x:c>
      <x:c r="C1" s="139" t="str">
        <x:v>ever_vaped_prevalence_pct</x:v>
      </x:c>
      <x:c r="D1" s="139" t="str">
        <x:v>implied_people</x:v>
      </x:c>
      <x:c r="E1" s="139" t="str">
        <x:v>difference_vs_report_people</x:v>
      </x:c>
      <x:c r="F1" s="139" t="str">
        <x:v>status</x:v>
      </x:c>
      <x:c r="G1" s="139" t="str">
        <x:v>report_recalculated_market_eur</x:v>
      </x:c>
      <x:c r="H1" s="139" t="str">
        <x:v>source_url</x:v>
      </x:c>
      <x:c r="I1" s="140" t="str">
        <x:v>boundary</x:v>
      </x:c>
    </x:row>
    <x:row r="2" ht="118.80000305175781" hidden="0" customHeight="1">
      <x:c r="A2" s="160" t="str">
        <x:v>report_input_and_official_lower_95pct_bound</x:v>
      </x:c>
      <x:c r="B2" s="178" t="n">
        <x:v>775315</x:v>
      </x:c>
      <x:c r="C2" s="184" t="n">
        <x:v>0.228</x:v>
      </x:c>
      <x:c r="D2" s="187" t="n">
        <x:v>176772</x:v>
      </x:c>
      <x:c r="E2" s="187" t="n">
        <x:v>0</x:v>
      </x:c>
      <x:c r="F2" s="161" t="str">
        <x:v>used_in_report</x:v>
      </x:c>
      <x:c r="G2" s="161" t="str"/>
      <x:c r="H2" s="161" t="str">
        <x:v>https://cijfers.trimbos.nl/scholierenmonitor/vape-snus-en-waterpijp/cijfers-2023-12-16-jaar-vape-snus-waterpijp/</x:v>
      </x:c>
      <x:c r="I2" s="162" t="str">
        <x:v>exact EUR effect cannot be reproduced because age-specific monthly-spend and illegal-share cells are unpublished</x:v>
      </x:c>
    </x:row>
    <x:row r="3" ht="118.80000305175781" hidden="0" customHeight="1">
      <x:c r="A3" s="163" t="str">
        <x:v>official_point_estimate</x:v>
      </x:c>
      <x:c r="B3" s="179" t="n">
        <x:v>775315</x:v>
      </x:c>
      <x:c r="C3" s="185" t="n">
        <x:v>0.24600000000000002</x:v>
      </x:c>
      <x:c r="D3" s="188" t="n">
        <x:v>190727</x:v>
      </x:c>
      <x:c r="E3" s="188" t="n">
        <x:v>13956</x:v>
      </x:c>
      <x:c r="F3" s="164" t="str">
        <x:v>not_used_in_report</x:v>
      </x:c>
      <x:c r="G3" s="164" t="str"/>
      <x:c r="H3" s="164" t="str">
        <x:v>https://cijfers.trimbos.nl/scholierenmonitor/vape-snus-en-waterpijp/cijfers-2023-12-16-jaar-vape-snus-waterpijp/</x:v>
      </x:c>
      <x:c r="I3" s="165" t="str">
        <x:v>exact EUR effect cannot be reproduced because age-specific monthly-spend and illegal-share cells are unpublished</x:v>
      </x:c>
    </x:row>
    <x:row r="4" ht="118.80000305175781" hidden="0" customHeight="1">
      <x:c r="A4" s="166" t="str">
        <x:v>official_upper_95pct_bound</x:v>
      </x:c>
      <x:c r="B4" s="180" t="n">
        <x:v>775315</x:v>
      </x:c>
      <x:c r="C4" s="186" t="n">
        <x:v>0.264</x:v>
      </x:c>
      <x:c r="D4" s="189" t="n">
        <x:v>204683</x:v>
      </x:c>
      <x:c r="E4" s="189" t="n">
        <x:v>27911</x:v>
      </x:c>
      <x:c r="F4" s="167" t="str">
        <x:v>not_used_in_report</x:v>
      </x:c>
      <x:c r="G4" s="167" t="str"/>
      <x:c r="H4" s="167" t="str">
        <x:v>https://cijfers.trimbos.nl/scholierenmonitor/vape-snus-en-waterpijp/cijfers-2023-12-16-jaar-vape-snus-waterpijp/</x:v>
      </x:c>
      <x:c r="I4" s="168" t="str">
        <x:v>exact EUR effect cannot be reproduced because age-specific monthly-spend and illegal-share cells are unpublished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0" hidden="0" customWidth="1"/>
    <x:col min="5" max="5" width="20" hidden="0" customWidth="1"/>
    <x:col min="6" max="6" width="20" hidden="0" customWidth="1"/>
    <x:col min="7" max="7" width="52" hidden="0" customWidth="1"/>
    <x:col min="8" max="8" width="52" hidden="0" customWidth="1"/>
    <x:col min="9" max="9" width="52" hidden="0" customWidth="1"/>
  </x:cols>
  <x:sheetData>
    <x:row r="1" ht="39.599998474121094" hidden="0" customHeight="1">
      <x:c r="A1" s="138" t="str">
        <x:v>year</x:v>
      </x:c>
      <x:c r="B1" s="139" t="str">
        <x:v>person_category</x:v>
      </x:c>
      <x:c r="C1" s="139" t="str">
        <x:v>age_group</x:v>
      </x:c>
      <x:c r="D1" s="139" t="str">
        <x:v>point_estimate_pct</x:v>
      </x:c>
      <x:c r="E1" s="139" t="str">
        <x:v>lower_95pct_bound</x:v>
      </x:c>
      <x:c r="F1" s="139" t="str">
        <x:v>upper_95pct_bound</x:v>
      </x:c>
      <x:c r="G1" s="139" t="str">
        <x:v>measure</x:v>
      </x:c>
      <x:c r="H1" s="139" t="str">
        <x:v>source_url</x:v>
      </x:c>
      <x:c r="I1" s="140" t="str">
        <x:v>boundary</x:v>
      </x:c>
    </x:row>
    <x:row r="2" ht="162" hidden="0" customHeight="1">
      <x:c r="A2" s="160" t="n">
        <x:v>2024</x:v>
      </x:c>
      <x:c r="B2" s="161" t="str">
        <x:v>T009002</x:v>
      </x:c>
      <x:c r="C2" s="161" t="str">
        <x:v>Totaal personen</x:v>
      </x:c>
      <x:c r="D2" s="184" t="n">
        <x:v>0.035</x:v>
      </x:c>
      <x:c r="E2" s="184" t="n">
        <x:v>0.031</x:v>
      </x:c>
      <x:c r="F2" s="184" t="n">
        <x:v>0.039</x:v>
      </x:c>
      <x:c r="G2" s="161" t="str">
        <x:v>uses_e_cigarette_daily_or_non_daily_age_12_plus</x:v>
      </x:c>
      <x:c r="H2" s="161" t="str">
        <x:v>https://opendata.cbs.nl/ODataApi/OData/85457NED/TypedDataSet?$filter=Perioden%20eq%20%272024JJ00%27&amp;$select=Persoonskenmerken,Perioden,Marges,ESigaret12JaarOfOuder_14</x:v>
      </x:c>
      <x:c r="I2" s="162" t="str">
        <x:v>prevalence, not sales volume, units, liquid millilitres or consumer expenditure</x:v>
      </x:c>
    </x:row>
    <x:row r="3" ht="162" hidden="0" customHeight="1">
      <x:c r="A3" s="163" t="n">
        <x:v>2024</x:v>
      </x:c>
      <x:c r="B3" s="164" t="str">
        <x:v>80006</x:v>
      </x:c>
      <x:c r="C3" s="164" t="str">
        <x:v>Leeftijd: 12 tot 16 jaar</x:v>
      </x:c>
      <x:c r="D3" s="185" t="n">
        <x:v>0.034</x:v>
      </x:c>
      <x:c r="E3" s="185" t="n">
        <x:v>0.022000000000000002</x:v>
      </x:c>
      <x:c r="F3" s="185" t="n">
        <x:v>0.053</x:v>
      </x:c>
      <x:c r="G3" s="164" t="str">
        <x:v>uses_e_cigarette_daily_or_non_daily_age_12_plus</x:v>
      </x:c>
      <x:c r="H3" s="164" t="str">
        <x:v>https://opendata.cbs.nl/ODataApi/OData/85457NED/TypedDataSet?$filter=Perioden%20eq%20%272024JJ00%27&amp;$select=Persoonskenmerken,Perioden,Marges,ESigaret12JaarOfOuder_14</x:v>
      </x:c>
      <x:c r="I3" s="165" t="str">
        <x:v>prevalence, not sales volume, units, liquid millilitres or consumer expenditure</x:v>
      </x:c>
    </x:row>
    <x:row r="4" ht="162" hidden="0" customHeight="1">
      <x:c r="A4" s="163" t="n">
        <x:v>2024</x:v>
      </x:c>
      <x:c r="B4" s="164" t="str">
        <x:v>53080</x:v>
      </x:c>
      <x:c r="C4" s="164" t="str">
        <x:v>Leeftijd: 16 tot 20 jaar</x:v>
      </x:c>
      <x:c r="D4" s="185" t="n">
        <x:v>0.132</x:v>
      </x:c>
      <x:c r="E4" s="185" t="n">
        <x:v>0.102</x:v>
      </x:c>
      <x:c r="F4" s="185" t="n">
        <x:v>0.168</x:v>
      </x:c>
      <x:c r="G4" s="164" t="str">
        <x:v>uses_e_cigarette_daily_or_non_daily_age_12_plus</x:v>
      </x:c>
      <x:c r="H4" s="164" t="str">
        <x:v>https://opendata.cbs.nl/ODataApi/OData/85457NED/TypedDataSet?$filter=Perioden%20eq%20%272024JJ00%27&amp;$select=Persoonskenmerken,Perioden,Marges,ESigaret12JaarOfOuder_14</x:v>
      </x:c>
      <x:c r="I4" s="165" t="str">
        <x:v>prevalence, not sales volume, units, liquid millilitres or consumer expenditure</x:v>
      </x:c>
    </x:row>
    <x:row r="5" ht="162" hidden="0" customHeight="1">
      <x:c r="A5" s="163" t="n">
        <x:v>2024</x:v>
      </x:c>
      <x:c r="B5" s="164" t="str">
        <x:v>60300</x:v>
      </x:c>
      <x:c r="C5" s="164" t="str">
        <x:v>Leeftijd: 20 tot 30 jaar</x:v>
      </x:c>
      <x:c r="D5" s="185" t="n">
        <x:v>0.069</x:v>
      </x:c>
      <x:c r="E5" s="185" t="n">
        <x:v>0.054000000000000006</x:v>
      </x:c>
      <x:c r="F5" s="185" t="n">
        <x:v>0.086</x:v>
      </x:c>
      <x:c r="G5" s="164" t="str">
        <x:v>uses_e_cigarette_daily_or_non_daily_age_12_plus</x:v>
      </x:c>
      <x:c r="H5" s="164" t="str">
        <x:v>https://opendata.cbs.nl/ODataApi/OData/85457NED/TypedDataSet?$filter=Perioden%20eq%20%272024JJ00%27&amp;$select=Persoonskenmerken,Perioden,Marges,ESigaret12JaarOfOuder_14</x:v>
      </x:c>
      <x:c r="I5" s="165" t="str">
        <x:v>prevalence, not sales volume, units, liquid millilitres or consumer expenditure</x:v>
      </x:c>
    </x:row>
    <x:row r="6" ht="162" hidden="0" customHeight="1">
      <x:c r="A6" s="163" t="n">
        <x:v>2024</x:v>
      </x:c>
      <x:c r="B6" s="164" t="str">
        <x:v>60400</x:v>
      </x:c>
      <x:c r="C6" s="164" t="str">
        <x:v>Leeftijd: 30 tot 40 jaar</x:v>
      </x:c>
      <x:c r="D6" s="185" t="n">
        <x:v>0.044000000000000004</x:v>
      </x:c>
      <x:c r="E6" s="185" t="n">
        <x:v>0.033</x:v>
      </x:c>
      <x:c r="F6" s="185" t="n">
        <x:v>0.057999999999999996</x:v>
      </x:c>
      <x:c r="G6" s="164" t="str">
        <x:v>uses_e_cigarette_daily_or_non_daily_age_12_plus</x:v>
      </x:c>
      <x:c r="H6" s="164" t="str">
        <x:v>https://opendata.cbs.nl/ODataApi/OData/85457NED/TypedDataSet?$filter=Perioden%20eq%20%272024JJ00%27&amp;$select=Persoonskenmerken,Perioden,Marges,ESigaret12JaarOfOuder_14</x:v>
      </x:c>
      <x:c r="I6" s="165" t="str">
        <x:v>prevalence, not sales volume, units, liquid millilitres or consumer expenditure</x:v>
      </x:c>
    </x:row>
    <x:row r="7" ht="162" hidden="0" customHeight="1">
      <x:c r="A7" s="163" t="n">
        <x:v>2024</x:v>
      </x:c>
      <x:c r="B7" s="164" t="str">
        <x:v>60500</x:v>
      </x:c>
      <x:c r="C7" s="164" t="str">
        <x:v>Leeftijd: 40 tot 50 jaar</x:v>
      </x:c>
      <x:c r="D7" s="185" t="n">
        <x:v>0.024</x:v>
      </x:c>
      <x:c r="E7" s="185" t="n">
        <x:v>0.016</x:v>
      </x:c>
      <x:c r="F7" s="185" t="n">
        <x:v>0.036000000000000004</x:v>
      </x:c>
      <x:c r="G7" s="164" t="str">
        <x:v>uses_e_cigarette_daily_or_non_daily_age_12_plus</x:v>
      </x:c>
      <x:c r="H7" s="164" t="str">
        <x:v>https://opendata.cbs.nl/ODataApi/OData/85457NED/TypedDataSet?$filter=Perioden%20eq%20%272024JJ00%27&amp;$select=Persoonskenmerken,Perioden,Marges,ESigaret12JaarOfOuder_14</x:v>
      </x:c>
      <x:c r="I7" s="165" t="str">
        <x:v>prevalence, not sales volume, units, liquid millilitres or consumer expenditure</x:v>
      </x:c>
    </x:row>
    <x:row r="8" ht="162" hidden="0" customHeight="1">
      <x:c r="A8" s="163" t="n">
        <x:v>2024</x:v>
      </x:c>
      <x:c r="B8" s="164" t="str">
        <x:v>71100</x:v>
      </x:c>
      <x:c r="C8" s="164" t="str">
        <x:v>Leeftijd: 50 tot 55 jaar</x:v>
      </x:c>
      <x:c r="D8" s="185" t="n">
        <x:v>0.038</x:v>
      </x:c>
      <x:c r="E8" s="185" t="n">
        <x:v>0.024</x:v>
      </x:c>
      <x:c r="F8" s="185" t="n">
        <x:v>0.057999999999999996</x:v>
      </x:c>
      <x:c r="G8" s="164" t="str">
        <x:v>uses_e_cigarette_daily_or_non_daily_age_12_plus</x:v>
      </x:c>
      <x:c r="H8" s="164" t="str">
        <x:v>https://opendata.cbs.nl/ODataApi/OData/85457NED/TypedDataSet?$filter=Perioden%20eq%20%272024JJ00%27&amp;$select=Persoonskenmerken,Perioden,Marges,ESigaret12JaarOfOuder_14</x:v>
      </x:c>
      <x:c r="I8" s="165" t="str">
        <x:v>prevalence, not sales volume, units, liquid millilitres or consumer expenditure</x:v>
      </x:c>
    </x:row>
    <x:row r="9" ht="162" hidden="0" customHeight="1">
      <x:c r="A9" s="163" t="n">
        <x:v>2024</x:v>
      </x:c>
      <x:c r="B9" s="164" t="str">
        <x:v>53900</x:v>
      </x:c>
      <x:c r="C9" s="164" t="str">
        <x:v>Leeftijd: 55 tot 65 jaar</x:v>
      </x:c>
      <x:c r="D9" s="185" t="n">
        <x:v>0.013000000000000001</x:v>
      </x:c>
      <x:c r="E9" s="185" t="n">
        <x:v>0.008</x:v>
      </x:c>
      <x:c r="F9" s="185" t="n">
        <x:v>0.02</x:v>
      </x:c>
      <x:c r="G9" s="164" t="str">
        <x:v>uses_e_cigarette_daily_or_non_daily_age_12_plus</x:v>
      </x:c>
      <x:c r="H9" s="164" t="str">
        <x:v>https://opendata.cbs.nl/ODataApi/OData/85457NED/TypedDataSet?$filter=Perioden%20eq%20%272024JJ00%27&amp;$select=Persoonskenmerken,Perioden,Marges,ESigaret12JaarOfOuder_14</x:v>
      </x:c>
      <x:c r="I9" s="165" t="str">
        <x:v>prevalence, not sales volume, units, liquid millilitres or consumer expenditure</x:v>
      </x:c>
    </x:row>
    <x:row r="10" ht="162" hidden="0" customHeight="1">
      <x:c r="A10" s="163" t="n">
        <x:v>2024</x:v>
      </x:c>
      <x:c r="B10" s="164" t="str">
        <x:v>53925</x:v>
      </x:c>
      <x:c r="C10" s="164" t="str">
        <x:v>Leeftijd: 65 tot 75 jaar</x:v>
      </x:c>
      <x:c r="D10" s="185" t="n">
        <x:v>0.006</x:v>
      </x:c>
      <x:c r="E10" s="185" t="n">
        <x:v>0.003</x:v>
      </x:c>
      <x:c r="F10" s="185" t="n">
        <x:v>0.013000000000000001</x:v>
      </x:c>
      <x:c r="G10" s="164" t="str">
        <x:v>uses_e_cigarette_daily_or_non_daily_age_12_plus</x:v>
      </x:c>
      <x:c r="H10" s="164" t="str">
        <x:v>https://opendata.cbs.nl/ODataApi/OData/85457NED/TypedDataSet?$filter=Perioden%20eq%20%272024JJ00%27&amp;$select=Persoonskenmerken,Perioden,Marges,ESigaret12JaarOfOuder_14</x:v>
      </x:c>
      <x:c r="I10" s="165" t="str">
        <x:v>prevalence, not sales volume, units, liquid millilitres or consumer expenditure</x:v>
      </x:c>
    </x:row>
    <x:row r="11" ht="162" hidden="0" customHeight="1">
      <x:c r="A11" s="166" t="n">
        <x:v>2024</x:v>
      </x:c>
      <x:c r="B11" s="167" t="str">
        <x:v>21600</x:v>
      </x:c>
      <x:c r="C11" s="167" t="str">
        <x:v>Leeftijd: 75 jaar of ouder</x:v>
      </x:c>
      <x:c r="D11" s="186" t="n">
        <x:v>0.003</x:v>
      </x:c>
      <x:c r="E11" s="186" t="n">
        <x:v>0.001</x:v>
      </x:c>
      <x:c r="F11" s="186" t="n">
        <x:v>0.01</x:v>
      </x:c>
      <x:c r="G11" s="167" t="str">
        <x:v>uses_e_cigarette_daily_or_non_daily_age_12_plus</x:v>
      </x:c>
      <x:c r="H11" s="167" t="str">
        <x:v>https://opendata.cbs.nl/ODataApi/OData/85457NED/TypedDataSet?$filter=Perioden%20eq%20%272024JJ00%27&amp;$select=Persoonskenmerken,Perioden,Marges,ESigaret12JaarOfOuder_14</x:v>
      </x:c>
      <x:c r="I11" s="168" t="str">
        <x:v>prevalence, not sales volume, units, liquid millilitres or consumer expenditure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58" hidden="0" customWidth="1"/>
    <x:col min="17" max="17" width="58" hidden="0" customWidth="1"/>
  </x:cols>
  <x:sheetData>
    <x:row r="1" ht="52.79999923706055" hidden="0" customHeight="1">
      <x:c r="A1" s="138" t="str">
        <x:v>year</x:v>
      </x:c>
      <x:c r="B1" s="139" t="str">
        <x:v>basket</x:v>
      </x:c>
      <x:c r="C1" s="139" t="str">
        <x:v>products</x:v>
      </x:c>
      <x:c r="D1" s="139" t="str">
        <x:v>world_import_eur</x:v>
      </x:c>
      <x:c r="E1" s="139" t="str">
        <x:v>world_export_eur</x:v>
      </x:c>
      <x:c r="F1" s="139" t="str">
        <x:v>border_net_import_minus_export_eur</x:v>
      </x:c>
      <x:c r="G1" s="139" t="str">
        <x:v>intra_EU_import_eur</x:v>
      </x:c>
      <x:c r="H1" s="139" t="str">
        <x:v>extra_EU_import_eur</x:v>
      </x:c>
      <x:c r="I1" s="139" t="str">
        <x:v>intra_EU_export_eur</x:v>
      </x:c>
      <x:c r="J1" s="139" t="str">
        <x:v>extra_EU_export_eur</x:v>
      </x:c>
      <x:c r="K1" s="139" t="str">
        <x:v>import_world_reconciliation_gap_eur</x:v>
      </x:c>
      <x:c r="L1" s="139" t="str">
        <x:v>export_world_reconciliation_gap_eur</x:v>
      </x:c>
      <x:c r="M1" s="139" t="str">
        <x:v>extra_EU_import_share_pct</x:v>
      </x:c>
      <x:c r="N1" s="139" t="str">
        <x:v>export_to_import_ratio_pct</x:v>
      </x:c>
      <x:c r="O1" s="139" t="str">
        <x:v>reported_consumer_spend_eur</x:v>
      </x:c>
      <x:c r="P1" s="139" t="str">
        <x:v>source_url</x:v>
      </x:c>
      <x:c r="Q1" s="140" t="str">
        <x:v>boundary</x:v>
      </x:c>
    </x:row>
    <x:row r="2" ht="356.3999938964844" hidden="0" customHeight="1">
      <x:c r="A2" s="160" t="n">
        <x:v>2025</x:v>
      </x:c>
      <x:c r="B2" s="161" t="str">
        <x:v>narrow_devices_plus_nicotine_proxy</x:v>
      </x:c>
      <x:c r="C2" s="161" t="str">
        <x:v>85434000+24041200</x:v>
      </x:c>
      <x:c r="D2" s="169" t="n">
        <x:v>204763244</x:v>
      </x:c>
      <x:c r="E2" s="169" t="n">
        <x:v>69808927</x:v>
      </x:c>
      <x:c r="F2" s="169" t="n">
        <x:v>134954317</x:v>
      </x:c>
      <x:c r="G2" s="169" t="n">
        <x:v>28723436</x:v>
      </x:c>
      <x:c r="H2" s="169" t="n">
        <x:v>176039808</x:v>
      </x:c>
      <x:c r="I2" s="169" t="n">
        <x:v>66362031</x:v>
      </x:c>
      <x:c r="J2" s="169" t="n">
        <x:v>3446896</x:v>
      </x:c>
      <x:c r="K2" s="169" t="n">
        <x:v>0</x:v>
      </x:c>
      <x:c r="L2" s="169" t="n">
        <x:v>0</x:v>
      </x:c>
      <x:c r="M2" s="172" t="n">
        <x:v>0.85972367</x:v>
      </x:c>
      <x:c r="N2" s="172" t="n">
        <x:v>0.34092509</x:v>
      </x:c>
      <x:c r="O2" s="169" t="n">
        <x:v>281548137</x:v>
      </x:c>
      <x:c r="P2" s="161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Q2" s="162" t="str">
        <x:v>customs and consumer-spend values use different valuation levels and scopes; border net is not domestic demand or retail turnover</x:v>
      </x:c>
    </x:row>
    <x:row r="3" ht="356.3999938964844" hidden="0" customHeight="1">
      <x:c r="A3" s="166" t="n">
        <x:v>2025</x:v>
      </x:c>
      <x:c r="B3" s="167" t="str">
        <x:v>broad_four_code_context</x:v>
      </x:c>
      <x:c r="C3" s="167" t="str">
        <x:v>85434000+24041200+24041910+24041990</x:v>
      </x:c>
      <x:c r="D3" s="171" t="n">
        <x:v>234407986</x:v>
      </x:c>
      <x:c r="E3" s="171" t="n">
        <x:v>99229091</x:v>
      </x:c>
      <x:c r="F3" s="171" t="n">
        <x:v>135178895</x:v>
      </x:c>
      <x:c r="G3" s="171" t="n">
        <x:v>55308617</x:v>
      </x:c>
      <x:c r="H3" s="171" t="n">
        <x:v>179099369</x:v>
      </x:c>
      <x:c r="I3" s="171" t="n">
        <x:v>95033372</x:v>
      </x:c>
      <x:c r="J3" s="171" t="n">
        <x:v>4195719</x:v>
      </x:c>
      <x:c r="K3" s="171" t="n">
        <x:v>0</x:v>
      </x:c>
      <x:c r="L3" s="171" t="n">
        <x:v>0</x:v>
      </x:c>
      <x:c r="M3" s="174" t="n">
        <x:v>0.76404978</x:v>
      </x:c>
      <x:c r="N3" s="174" t="n">
        <x:v>0.42331788000000004</x:v>
      </x:c>
      <x:c r="O3" s="171" t="n">
        <x:v>281548137</x:v>
      </x:c>
      <x:c r="P3" s="167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Q3" s="168" t="str">
        <x:v>customs and consumer-spend values use different valuation levels and scopes; border net is not domestic demand or retail turnover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58" hidden="0" customWidth="1"/>
    <x:col min="12" max="12" width="58" hidden="0" customWidth="1"/>
  </x:cols>
  <x:sheetData>
    <x:row r="1" ht="52.79999923706055" hidden="0" customHeight="1">
      <x:c r="A1" s="138" t="str">
        <x:v>year</x:v>
      </x:c>
      <x:c r="B1" s="139" t="str">
        <x:v>product</x:v>
      </x:c>
      <x:c r="C1" s="139" t="str">
        <x:v>product_label</x:v>
      </x:c>
      <x:c r="D1" s="139" t="str">
        <x:v>scope</x:v>
      </x:c>
      <x:c r="E1" s="139" t="str">
        <x:v>flow</x:v>
      </x:c>
      <x:c r="F1" s="139" t="str">
        <x:v>partner_scope</x:v>
      </x:c>
      <x:c r="G1" s="139" t="str">
        <x:v>value_eur</x:v>
      </x:c>
      <x:c r="H1" s="139" t="str">
        <x:v>quantity_kg</x:v>
      </x:c>
      <x:c r="I1" s="139" t="str">
        <x:v>supplementary_quantity</x:v>
      </x:c>
      <x:c r="J1" s="139" t="str">
        <x:v>world_minus_intra_minus_extra_eur</x:v>
      </x:c>
      <x:c r="K1" s="139" t="str">
        <x:v>source_url</x:v>
      </x:c>
      <x:c r="L1" s="140" t="str">
        <x:v>boundary</x:v>
      </x:c>
    </x:row>
    <x:row r="2" ht="356.3999938964844" hidden="0" customHeight="1">
      <x:c r="A2" s="160" t="n">
        <x:v>2025</x:v>
      </x:c>
      <x:c r="B2" s="161" t="str">
        <x:v>85434000</x:v>
      </x:c>
      <x:c r="C2" s="161" t="str">
        <x:v>Electronic cigarettes and similar personal electric vaporizing devices(2022-2500);Electric fence energisers(1996-2006)</x:v>
      </x:c>
      <x:c r="D2" s="161" t="str">
        <x:v>core_devices</x:v>
      </x:c>
      <x:c r="E2" s="161" t="str">
        <x:v>import</x:v>
      </x:c>
      <x:c r="F2" s="161" t="str">
        <x:v>world</x:v>
      </x:c>
      <x:c r="G2" s="169" t="n">
        <x:v>35364941</x:v>
      </x:c>
      <x:c r="H2" s="190" t="n">
        <x:v>561958</x:v>
      </x:c>
      <x:c r="I2" s="190" t="str"/>
      <x:c r="J2" s="190" t="n">
        <x:v>0</x:v>
      </x:c>
      <x:c r="K2" s="161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2" s="162" t="str">
        <x:v>border trade value; intra-EU import partner is consignment, extra-EU import partner is origin; not Dutch consumer sales</x:v>
      </x:c>
    </x:row>
    <x:row r="3" ht="356.3999938964844" hidden="0" customHeight="1">
      <x:c r="A3" s="163" t="n">
        <x:v>2025</x:v>
      </x:c>
      <x:c r="B3" s="164" t="str">
        <x:v>85434000</x:v>
      </x:c>
      <x:c r="C3" s="164" t="str">
        <x:v>Electronic cigarettes and similar personal electric vaporizing devices(2022-2500);Electric fence energisers(1996-2006)</x:v>
      </x:c>
      <x:c r="D3" s="164" t="str">
        <x:v>core_devices</x:v>
      </x:c>
      <x:c r="E3" s="164" t="str">
        <x:v>import</x:v>
      </x:c>
      <x:c r="F3" s="164" t="str">
        <x:v>intra_EU27</x:v>
      </x:c>
      <x:c r="G3" s="170" t="n">
        <x:v>12302229</x:v>
      </x:c>
      <x:c r="H3" s="191" t="n">
        <x:v>110296</x:v>
      </x:c>
      <x:c r="I3" s="191" t="str"/>
      <x:c r="J3" s="191" t="n">
        <x:v>0</x:v>
      </x:c>
      <x:c r="K3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3" s="165" t="str">
        <x:v>border trade value; intra-EU import partner is consignment, extra-EU import partner is origin; not Dutch consumer sales</x:v>
      </x:c>
    </x:row>
    <x:row r="4" ht="356.3999938964844" hidden="0" customHeight="1">
      <x:c r="A4" s="163" t="n">
        <x:v>2025</x:v>
      </x:c>
      <x:c r="B4" s="164" t="str">
        <x:v>85434000</x:v>
      </x:c>
      <x:c r="C4" s="164" t="str">
        <x:v>Electronic cigarettes and similar personal electric vaporizing devices(2022-2500);Electric fence energisers(1996-2006)</x:v>
      </x:c>
      <x:c r="D4" s="164" t="str">
        <x:v>core_devices</x:v>
      </x:c>
      <x:c r="E4" s="164" t="str">
        <x:v>import</x:v>
      </x:c>
      <x:c r="F4" s="164" t="str">
        <x:v>extra_EU27</x:v>
      </x:c>
      <x:c r="G4" s="170" t="n">
        <x:v>23062712</x:v>
      </x:c>
      <x:c r="H4" s="191" t="n">
        <x:v>451662</x:v>
      </x:c>
      <x:c r="I4" s="191" t="str"/>
      <x:c r="J4" s="191" t="n">
        <x:v>0</x:v>
      </x:c>
      <x:c r="K4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4" s="165" t="str">
        <x:v>border trade value; intra-EU import partner is consignment, extra-EU import partner is origin; not Dutch consumer sales</x:v>
      </x:c>
    </x:row>
    <x:row r="5" ht="356.3999938964844" hidden="0" customHeight="1">
      <x:c r="A5" s="163" t="n">
        <x:v>2025</x:v>
      </x:c>
      <x:c r="B5" s="164" t="str">
        <x:v>85434000</x:v>
      </x:c>
      <x:c r="C5" s="164" t="str">
        <x:v>Electronic cigarettes and similar personal electric vaporizing devices(2022-2500);Electric fence energisers(1996-2006)</x:v>
      </x:c>
      <x:c r="D5" s="164" t="str">
        <x:v>core_devices</x:v>
      </x:c>
      <x:c r="E5" s="164" t="str">
        <x:v>export</x:v>
      </x:c>
      <x:c r="F5" s="164" t="str">
        <x:v>world</x:v>
      </x:c>
      <x:c r="G5" s="170" t="n">
        <x:v>32134977</x:v>
      </x:c>
      <x:c r="H5" s="191" t="n">
        <x:v>6984565</x:v>
      </x:c>
      <x:c r="I5" s="191" t="str"/>
      <x:c r="J5" s="191" t="n">
        <x:v>0</x:v>
      </x:c>
      <x:c r="K5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5" s="165" t="str">
        <x:v>border trade value; intra-EU import partner is consignment, extra-EU import partner is origin; not Dutch consumer sales</x:v>
      </x:c>
    </x:row>
    <x:row r="6" ht="356.3999938964844" hidden="0" customHeight="1">
      <x:c r="A6" s="163" t="n">
        <x:v>2025</x:v>
      </x:c>
      <x:c r="B6" s="164" t="str">
        <x:v>85434000</x:v>
      </x:c>
      <x:c r="C6" s="164" t="str">
        <x:v>Electronic cigarettes and similar personal electric vaporizing devices(2022-2500);Electric fence energisers(1996-2006)</x:v>
      </x:c>
      <x:c r="D6" s="164" t="str">
        <x:v>core_devices</x:v>
      </x:c>
      <x:c r="E6" s="164" t="str">
        <x:v>export</x:v>
      </x:c>
      <x:c r="F6" s="164" t="str">
        <x:v>intra_EU27</x:v>
      </x:c>
      <x:c r="G6" s="170" t="n">
        <x:v>30619720</x:v>
      </x:c>
      <x:c r="H6" s="191" t="n">
        <x:v>6950521</x:v>
      </x:c>
      <x:c r="I6" s="191" t="str"/>
      <x:c r="J6" s="191" t="n">
        <x:v>0</x:v>
      </x:c>
      <x:c r="K6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6" s="165" t="str">
        <x:v>border trade value; intra-EU import partner is consignment, extra-EU import partner is origin; not Dutch consumer sales</x:v>
      </x:c>
    </x:row>
    <x:row r="7" ht="356.3999938964844" hidden="0" customHeight="1">
      <x:c r="A7" s="163" t="n">
        <x:v>2025</x:v>
      </x:c>
      <x:c r="B7" s="164" t="str">
        <x:v>85434000</x:v>
      </x:c>
      <x:c r="C7" s="164" t="str">
        <x:v>Electronic cigarettes and similar personal electric vaporizing devices(2022-2500);Electric fence energisers(1996-2006)</x:v>
      </x:c>
      <x:c r="D7" s="164" t="str">
        <x:v>core_devices</x:v>
      </x:c>
      <x:c r="E7" s="164" t="str">
        <x:v>export</x:v>
      </x:c>
      <x:c r="F7" s="164" t="str">
        <x:v>extra_EU27</x:v>
      </x:c>
      <x:c r="G7" s="170" t="n">
        <x:v>1515257</x:v>
      </x:c>
      <x:c r="H7" s="191" t="n">
        <x:v>34044</x:v>
      </x:c>
      <x:c r="I7" s="191" t="str"/>
      <x:c r="J7" s="191" t="n">
        <x:v>0</x:v>
      </x:c>
      <x:c r="K7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7" s="165" t="str">
        <x:v>border trade value; intra-EU import partner is consignment, extra-EU import partner is origin; not Dutch consumer sales</x:v>
      </x:c>
    </x:row>
    <x:row r="8" ht="356.3999938964844" hidden="0" customHeight="1">
      <x:c r="A8" s="163" t="n">
        <x:v>2025</x:v>
      </x:c>
      <x:c r="B8" s="164" t="str">
        <x:v>24041200</x:v>
      </x:c>
      <x:c r="C8" s="164" t="str">
        <x:v>Products containing nicotine, intended for inhalation without combustion (excl. containing tobacco or reconstituted tobacco)</x:v>
      </x:c>
      <x:c r="D8" s="164" t="str">
        <x:v>broad_nicotine_inhalation_proxy</x:v>
      </x:c>
      <x:c r="E8" s="164" t="str">
        <x:v>import</x:v>
      </x:c>
      <x:c r="F8" s="164" t="str">
        <x:v>world</x:v>
      </x:c>
      <x:c r="G8" s="170" t="n">
        <x:v>169398303</x:v>
      </x:c>
      <x:c r="H8" s="191" t="n">
        <x:v>6173728</x:v>
      </x:c>
      <x:c r="I8" s="191" t="str"/>
      <x:c r="J8" s="191" t="n">
        <x:v>0</x:v>
      </x:c>
      <x:c r="K8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8" s="165" t="str">
        <x:v>border trade value; intra-EU import partner is consignment, extra-EU import partner is origin; not Dutch consumer sales</x:v>
      </x:c>
    </x:row>
    <x:row r="9" ht="356.3999938964844" hidden="0" customHeight="1">
      <x:c r="A9" s="163" t="n">
        <x:v>2025</x:v>
      </x:c>
      <x:c r="B9" s="164" t="str">
        <x:v>24041200</x:v>
      </x:c>
      <x:c r="C9" s="164" t="str">
        <x:v>Products containing nicotine, intended for inhalation without combustion (excl. containing tobacco or reconstituted tobacco)</x:v>
      </x:c>
      <x:c r="D9" s="164" t="str">
        <x:v>broad_nicotine_inhalation_proxy</x:v>
      </x:c>
      <x:c r="E9" s="164" t="str">
        <x:v>import</x:v>
      </x:c>
      <x:c r="F9" s="164" t="str">
        <x:v>intra_EU27</x:v>
      </x:c>
      <x:c r="G9" s="170" t="n">
        <x:v>16421207</x:v>
      </x:c>
      <x:c r="H9" s="191" t="n">
        <x:v>1903998</x:v>
      </x:c>
      <x:c r="I9" s="191" t="str"/>
      <x:c r="J9" s="191" t="n">
        <x:v>0</x:v>
      </x:c>
      <x:c r="K9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9" s="165" t="str">
        <x:v>border trade value; intra-EU import partner is consignment, extra-EU import partner is origin; not Dutch consumer sales</x:v>
      </x:c>
    </x:row>
    <x:row r="10" ht="356.3999938964844" hidden="0" customHeight="1">
      <x:c r="A10" s="163" t="n">
        <x:v>2025</x:v>
      </x:c>
      <x:c r="B10" s="164" t="str">
        <x:v>24041200</x:v>
      </x:c>
      <x:c r="C10" s="164" t="str">
        <x:v>Products containing nicotine, intended for inhalation without combustion (excl. containing tobacco or reconstituted tobacco)</x:v>
      </x:c>
      <x:c r="D10" s="164" t="str">
        <x:v>broad_nicotine_inhalation_proxy</x:v>
      </x:c>
      <x:c r="E10" s="164" t="str">
        <x:v>import</x:v>
      </x:c>
      <x:c r="F10" s="164" t="str">
        <x:v>extra_EU27</x:v>
      </x:c>
      <x:c r="G10" s="170" t="n">
        <x:v>152977096</x:v>
      </x:c>
      <x:c r="H10" s="191" t="n">
        <x:v>4269730</x:v>
      </x:c>
      <x:c r="I10" s="191" t="str"/>
      <x:c r="J10" s="191" t="n">
        <x:v>0</x:v>
      </x:c>
      <x:c r="K10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10" s="165" t="str">
        <x:v>border trade value; intra-EU import partner is consignment, extra-EU import partner is origin; not Dutch consumer sales</x:v>
      </x:c>
    </x:row>
    <x:row r="11" ht="356.3999938964844" hidden="0" customHeight="1">
      <x:c r="A11" s="163" t="n">
        <x:v>2025</x:v>
      </x:c>
      <x:c r="B11" s="164" t="str">
        <x:v>24041200</x:v>
      </x:c>
      <x:c r="C11" s="164" t="str">
        <x:v>Products containing nicotine, intended for inhalation without combustion (excl. containing tobacco or reconstituted tobacco)</x:v>
      </x:c>
      <x:c r="D11" s="164" t="str">
        <x:v>broad_nicotine_inhalation_proxy</x:v>
      </x:c>
      <x:c r="E11" s="164" t="str">
        <x:v>export</x:v>
      </x:c>
      <x:c r="F11" s="164" t="str">
        <x:v>world</x:v>
      </x:c>
      <x:c r="G11" s="170" t="n">
        <x:v>37673950</x:v>
      </x:c>
      <x:c r="H11" s="191" t="n">
        <x:v>5358330</x:v>
      </x:c>
      <x:c r="I11" s="191" t="str"/>
      <x:c r="J11" s="191" t="n">
        <x:v>0</x:v>
      </x:c>
      <x:c r="K11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11" s="165" t="str">
        <x:v>border trade value; intra-EU import partner is consignment, extra-EU import partner is origin; not Dutch consumer sales</x:v>
      </x:c>
    </x:row>
    <x:row r="12" ht="356.3999938964844" hidden="0" customHeight="1">
      <x:c r="A12" s="163" t="n">
        <x:v>2025</x:v>
      </x:c>
      <x:c r="B12" s="164" t="str">
        <x:v>24041200</x:v>
      </x:c>
      <x:c r="C12" s="164" t="str">
        <x:v>Products containing nicotine, intended for inhalation without combustion (excl. containing tobacco or reconstituted tobacco)</x:v>
      </x:c>
      <x:c r="D12" s="164" t="str">
        <x:v>broad_nicotine_inhalation_proxy</x:v>
      </x:c>
      <x:c r="E12" s="164" t="str">
        <x:v>export</x:v>
      </x:c>
      <x:c r="F12" s="164" t="str">
        <x:v>intra_EU27</x:v>
      </x:c>
      <x:c r="G12" s="170" t="n">
        <x:v>35742311</x:v>
      </x:c>
      <x:c r="H12" s="191" t="n">
        <x:v>5267344</x:v>
      </x:c>
      <x:c r="I12" s="191" t="str"/>
      <x:c r="J12" s="191" t="n">
        <x:v>0</x:v>
      </x:c>
      <x:c r="K12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12" s="165" t="str">
        <x:v>border trade value; intra-EU import partner is consignment, extra-EU import partner is origin; not Dutch consumer sales</x:v>
      </x:c>
    </x:row>
    <x:row r="13" ht="356.3999938964844" hidden="0" customHeight="1">
      <x:c r="A13" s="163" t="n">
        <x:v>2025</x:v>
      </x:c>
      <x:c r="B13" s="164" t="str">
        <x:v>24041200</x:v>
      </x:c>
      <x:c r="C13" s="164" t="str">
        <x:v>Products containing nicotine, intended for inhalation without combustion (excl. containing tobacco or reconstituted tobacco)</x:v>
      </x:c>
      <x:c r="D13" s="164" t="str">
        <x:v>broad_nicotine_inhalation_proxy</x:v>
      </x:c>
      <x:c r="E13" s="164" t="str">
        <x:v>export</x:v>
      </x:c>
      <x:c r="F13" s="164" t="str">
        <x:v>extra_EU27</x:v>
      </x:c>
      <x:c r="G13" s="170" t="n">
        <x:v>1931639</x:v>
      </x:c>
      <x:c r="H13" s="191" t="n">
        <x:v>90986</x:v>
      </x:c>
      <x:c r="I13" s="191" t="str"/>
      <x:c r="J13" s="191" t="n">
        <x:v>0</x:v>
      </x:c>
      <x:c r="K13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13" s="165" t="str">
        <x:v>border trade value; intra-EU import partner is consignment, extra-EU import partner is origin; not Dutch consumer sales</x:v>
      </x:c>
    </x:row>
    <x:row r="14" ht="356.3999938964844" hidden="0" customHeight="1">
      <x:c r="A14" s="163" t="n">
        <x:v>2025</x:v>
      </x:c>
      <x:c r="B14" s="164" t="str">
        <x:v>24041910</x:v>
      </x:c>
      <x:c r="C14" s="164" t="str">
        <x:v>Products containing tobacco substitutes, intended for inhalation without combustion (excl. containing nicotine)</x:v>
      </x:c>
      <x:c r="D14" s="164" t="str">
        <x:v>broad_nicotine_free_tobacco_substitute_inhalation_proxy</x:v>
      </x:c>
      <x:c r="E14" s="164" t="str">
        <x:v>import</x:v>
      </x:c>
      <x:c r="F14" s="164" t="str">
        <x:v>world</x:v>
      </x:c>
      <x:c r="G14" s="170" t="n">
        <x:v>18601</x:v>
      </x:c>
      <x:c r="H14" s="191" t="n">
        <x:v>171</x:v>
      </x:c>
      <x:c r="I14" s="191" t="str"/>
      <x:c r="J14" s="191" t="n">
        <x:v>0</x:v>
      </x:c>
      <x:c r="K14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14" s="165" t="str">
        <x:v>border trade value; intra-EU import partner is consignment, extra-EU import partner is origin; not Dutch consumer sales</x:v>
      </x:c>
    </x:row>
    <x:row r="15" ht="356.3999938964844" hidden="0" customHeight="1">
      <x:c r="A15" s="163" t="n">
        <x:v>2025</x:v>
      </x:c>
      <x:c r="B15" s="164" t="str">
        <x:v>24041910</x:v>
      </x:c>
      <x:c r="C15" s="164" t="str">
        <x:v>Products containing tobacco substitutes, intended for inhalation without combustion (excl. containing nicotine)</x:v>
      </x:c>
      <x:c r="D15" s="164" t="str">
        <x:v>broad_nicotine_free_tobacco_substitute_inhalation_proxy</x:v>
      </x:c>
      <x:c r="E15" s="164" t="str">
        <x:v>import</x:v>
      </x:c>
      <x:c r="F15" s="164" t="str">
        <x:v>intra_EU27</x:v>
      </x:c>
      <x:c r="G15" s="170" t="n">
        <x:v>18597</x:v>
      </x:c>
      <x:c r="H15" s="191" t="n">
        <x:v>166</x:v>
      </x:c>
      <x:c r="I15" s="191" t="str"/>
      <x:c r="J15" s="191" t="n">
        <x:v>0</x:v>
      </x:c>
      <x:c r="K15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15" s="165" t="str">
        <x:v>border trade value; intra-EU import partner is consignment, extra-EU import partner is origin; not Dutch consumer sales</x:v>
      </x:c>
    </x:row>
    <x:row r="16" ht="356.3999938964844" hidden="0" customHeight="1">
      <x:c r="A16" s="163" t="n">
        <x:v>2025</x:v>
      </x:c>
      <x:c r="B16" s="164" t="str">
        <x:v>24041910</x:v>
      </x:c>
      <x:c r="C16" s="164" t="str">
        <x:v>Products containing tobacco substitutes, intended for inhalation without combustion (excl. containing nicotine)</x:v>
      </x:c>
      <x:c r="D16" s="164" t="str">
        <x:v>broad_nicotine_free_tobacco_substitute_inhalation_proxy</x:v>
      </x:c>
      <x:c r="E16" s="164" t="str">
        <x:v>import</x:v>
      </x:c>
      <x:c r="F16" s="164" t="str">
        <x:v>extra_EU27</x:v>
      </x:c>
      <x:c r="G16" s="170" t="n">
        <x:v>4</x:v>
      </x:c>
      <x:c r="H16" s="191" t="n">
        <x:v>5</x:v>
      </x:c>
      <x:c r="I16" s="191" t="str"/>
      <x:c r="J16" s="191" t="n">
        <x:v>0</x:v>
      </x:c>
      <x:c r="K16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16" s="165" t="str">
        <x:v>border trade value; intra-EU import partner is consignment, extra-EU import partner is origin; not Dutch consumer sales</x:v>
      </x:c>
    </x:row>
    <x:row r="17" ht="356.3999938964844" hidden="0" customHeight="1">
      <x:c r="A17" s="163" t="n">
        <x:v>2025</x:v>
      </x:c>
      <x:c r="B17" s="164" t="str">
        <x:v>24041910</x:v>
      </x:c>
      <x:c r="C17" s="164" t="str">
        <x:v>Products containing tobacco substitutes, intended for inhalation without combustion (excl. containing nicotine)</x:v>
      </x:c>
      <x:c r="D17" s="164" t="str">
        <x:v>broad_nicotine_free_tobacco_substitute_inhalation_proxy</x:v>
      </x:c>
      <x:c r="E17" s="164" t="str">
        <x:v>export</x:v>
      </x:c>
      <x:c r="F17" s="164" t="str">
        <x:v>world</x:v>
      </x:c>
      <x:c r="G17" s="170" t="n">
        <x:v>4423</x:v>
      </x:c>
      <x:c r="H17" s="191" t="n">
        <x:v>67</x:v>
      </x:c>
      <x:c r="I17" s="191" t="str"/>
      <x:c r="J17" s="191" t="n">
        <x:v>0</x:v>
      </x:c>
      <x:c r="K17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17" s="165" t="str">
        <x:v>border trade value; intra-EU import partner is consignment, extra-EU import partner is origin; not Dutch consumer sales</x:v>
      </x:c>
    </x:row>
    <x:row r="18" ht="356.3999938964844" hidden="0" customHeight="1">
      <x:c r="A18" s="163" t="n">
        <x:v>2025</x:v>
      </x:c>
      <x:c r="B18" s="164" t="str">
        <x:v>24041910</x:v>
      </x:c>
      <x:c r="C18" s="164" t="str">
        <x:v>Products containing tobacco substitutes, intended for inhalation without combustion (excl. containing nicotine)</x:v>
      </x:c>
      <x:c r="D18" s="164" t="str">
        <x:v>broad_nicotine_free_tobacco_substitute_inhalation_proxy</x:v>
      </x:c>
      <x:c r="E18" s="164" t="str">
        <x:v>export</x:v>
      </x:c>
      <x:c r="F18" s="164" t="str">
        <x:v>intra_EU27</x:v>
      </x:c>
      <x:c r="G18" s="170" t="str"/>
      <x:c r="H18" s="191" t="str"/>
      <x:c r="I18" s="191" t="str"/>
      <x:c r="J18" s="191" t="n">
        <x:v>0</x:v>
      </x:c>
      <x:c r="K18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18" s="165" t="str">
        <x:v>border trade value; intra-EU import partner is consignment, extra-EU import partner is origin; not Dutch consumer sales</x:v>
      </x:c>
    </x:row>
    <x:row r="19" ht="356.3999938964844" hidden="0" customHeight="1">
      <x:c r="A19" s="163" t="n">
        <x:v>2025</x:v>
      </x:c>
      <x:c r="B19" s="164" t="str">
        <x:v>24041910</x:v>
      </x:c>
      <x:c r="C19" s="164" t="str">
        <x:v>Products containing tobacco substitutes, intended for inhalation without combustion (excl. containing nicotine)</x:v>
      </x:c>
      <x:c r="D19" s="164" t="str">
        <x:v>broad_nicotine_free_tobacco_substitute_inhalation_proxy</x:v>
      </x:c>
      <x:c r="E19" s="164" t="str">
        <x:v>export</x:v>
      </x:c>
      <x:c r="F19" s="164" t="str">
        <x:v>extra_EU27</x:v>
      </x:c>
      <x:c r="G19" s="170" t="n">
        <x:v>4423</x:v>
      </x:c>
      <x:c r="H19" s="191" t="n">
        <x:v>67</x:v>
      </x:c>
      <x:c r="I19" s="191" t="str"/>
      <x:c r="J19" s="191" t="n">
        <x:v>0</x:v>
      </x:c>
      <x:c r="K19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19" s="165" t="str">
        <x:v>border trade value; intra-EU import partner is consignment, extra-EU import partner is origin; not Dutch consumer sales</x:v>
      </x:c>
    </x:row>
    <x:row r="20" ht="356.3999938964844" hidden="0" customHeight="1">
      <x:c r="A20" s="163" t="n">
        <x:v>2025</x:v>
      </x:c>
      <x:c r="B20" s="164" t="str">
        <x:v>24041990</x:v>
      </x:c>
      <x:c r="C20" s="164" t="str">
        <x:v>Products containing nicotine substitutes, intended for inhalation without combustion (excl. containing nicotine or tobacco substitutes)</x:v>
      </x:c>
      <x:c r="D20" s="164" t="str">
        <x:v>broad_other_substitute_inhalation_proxy</x:v>
      </x:c>
      <x:c r="E20" s="164" t="str">
        <x:v>import</x:v>
      </x:c>
      <x:c r="F20" s="164" t="str">
        <x:v>world</x:v>
      </x:c>
      <x:c r="G20" s="170" t="n">
        <x:v>29626141</x:v>
      </x:c>
      <x:c r="H20" s="191" t="n">
        <x:v>111590</x:v>
      </x:c>
      <x:c r="I20" s="191" t="str"/>
      <x:c r="J20" s="191" t="n">
        <x:v>0</x:v>
      </x:c>
      <x:c r="K20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20" s="165" t="str">
        <x:v>border trade value; intra-EU import partner is consignment, extra-EU import partner is origin; not Dutch consumer sales</x:v>
      </x:c>
    </x:row>
    <x:row r="21" ht="356.3999938964844" hidden="0" customHeight="1">
      <x:c r="A21" s="163" t="n">
        <x:v>2025</x:v>
      </x:c>
      <x:c r="B21" s="164" t="str">
        <x:v>24041990</x:v>
      </x:c>
      <x:c r="C21" s="164" t="str">
        <x:v>Products containing nicotine substitutes, intended for inhalation without combustion (excl. containing nicotine or tobacco substitutes)</x:v>
      </x:c>
      <x:c r="D21" s="164" t="str">
        <x:v>broad_other_substitute_inhalation_proxy</x:v>
      </x:c>
      <x:c r="E21" s="164" t="str">
        <x:v>import</x:v>
      </x:c>
      <x:c r="F21" s="164" t="str">
        <x:v>intra_EU27</x:v>
      </x:c>
      <x:c r="G21" s="170" t="n">
        <x:v>26566584</x:v>
      </x:c>
      <x:c r="H21" s="191" t="n">
        <x:v>15988</x:v>
      </x:c>
      <x:c r="I21" s="191" t="str"/>
      <x:c r="J21" s="191" t="n">
        <x:v>0</x:v>
      </x:c>
      <x:c r="K21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21" s="165" t="str">
        <x:v>border trade value; intra-EU import partner is consignment, extra-EU import partner is origin; not Dutch consumer sales</x:v>
      </x:c>
    </x:row>
    <x:row r="22" ht="356.3999938964844" hidden="0" customHeight="1">
      <x:c r="A22" s="163" t="n">
        <x:v>2025</x:v>
      </x:c>
      <x:c r="B22" s="164" t="str">
        <x:v>24041990</x:v>
      </x:c>
      <x:c r="C22" s="164" t="str">
        <x:v>Products containing nicotine substitutes, intended for inhalation without combustion (excl. containing nicotine or tobacco substitutes)</x:v>
      </x:c>
      <x:c r="D22" s="164" t="str">
        <x:v>broad_other_substitute_inhalation_proxy</x:v>
      </x:c>
      <x:c r="E22" s="164" t="str">
        <x:v>import</x:v>
      </x:c>
      <x:c r="F22" s="164" t="str">
        <x:v>extra_EU27</x:v>
      </x:c>
      <x:c r="G22" s="170" t="n">
        <x:v>3059557</x:v>
      </x:c>
      <x:c r="H22" s="191" t="n">
        <x:v>95602</x:v>
      </x:c>
      <x:c r="I22" s="191" t="str"/>
      <x:c r="J22" s="191" t="n">
        <x:v>0</x:v>
      </x:c>
      <x:c r="K22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22" s="165" t="str">
        <x:v>border trade value; intra-EU import partner is consignment, extra-EU import partner is origin; not Dutch consumer sales</x:v>
      </x:c>
    </x:row>
    <x:row r="23" ht="356.3999938964844" hidden="0" customHeight="1">
      <x:c r="A23" s="163" t="n">
        <x:v>2025</x:v>
      </x:c>
      <x:c r="B23" s="164" t="str">
        <x:v>24041990</x:v>
      </x:c>
      <x:c r="C23" s="164" t="str">
        <x:v>Products containing nicotine substitutes, intended for inhalation without combustion (excl. containing nicotine or tobacco substitutes)</x:v>
      </x:c>
      <x:c r="D23" s="164" t="str">
        <x:v>broad_other_substitute_inhalation_proxy</x:v>
      </x:c>
      <x:c r="E23" s="164" t="str">
        <x:v>export</x:v>
      </x:c>
      <x:c r="F23" s="164" t="str">
        <x:v>world</x:v>
      </x:c>
      <x:c r="G23" s="170" t="n">
        <x:v>29415741</x:v>
      </x:c>
      <x:c r="H23" s="191" t="n">
        <x:v>176518</x:v>
      </x:c>
      <x:c r="I23" s="191" t="str"/>
      <x:c r="J23" s="191" t="n">
        <x:v>0</x:v>
      </x:c>
      <x:c r="K23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23" s="165" t="str">
        <x:v>border trade value; intra-EU import partner is consignment, extra-EU import partner is origin; not Dutch consumer sales</x:v>
      </x:c>
    </x:row>
    <x:row r="24" ht="356.3999938964844" hidden="0" customHeight="1">
      <x:c r="A24" s="163" t="n">
        <x:v>2025</x:v>
      </x:c>
      <x:c r="B24" s="164" t="str">
        <x:v>24041990</x:v>
      </x:c>
      <x:c r="C24" s="164" t="str">
        <x:v>Products containing nicotine substitutes, intended for inhalation without combustion (excl. containing nicotine or tobacco substitutes)</x:v>
      </x:c>
      <x:c r="D24" s="164" t="str">
        <x:v>broad_other_substitute_inhalation_proxy</x:v>
      </x:c>
      <x:c r="E24" s="164" t="str">
        <x:v>export</x:v>
      </x:c>
      <x:c r="F24" s="164" t="str">
        <x:v>intra_EU27</x:v>
      </x:c>
      <x:c r="G24" s="170" t="n">
        <x:v>28671341</x:v>
      </x:c>
      <x:c r="H24" s="191" t="n">
        <x:v>110501</x:v>
      </x:c>
      <x:c r="I24" s="191" t="str"/>
      <x:c r="J24" s="191" t="n">
        <x:v>0</x:v>
      </x:c>
      <x:c r="K24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24" s="165" t="str">
        <x:v>border trade value; intra-EU import partner is consignment, extra-EU import partner is origin; not Dutch consumer sales</x:v>
      </x:c>
    </x:row>
    <x:row r="25" ht="356.3999938964844" hidden="0" customHeight="1">
      <x:c r="A25" s="166" t="n">
        <x:v>2025</x:v>
      </x:c>
      <x:c r="B25" s="167" t="str">
        <x:v>24041990</x:v>
      </x:c>
      <x:c r="C25" s="167" t="str">
        <x:v>Products containing nicotine substitutes, intended for inhalation without combustion (excl. containing nicotine or tobacco substitutes)</x:v>
      </x:c>
      <x:c r="D25" s="167" t="str">
        <x:v>broad_other_substitute_inhalation_proxy</x:v>
      </x:c>
      <x:c r="E25" s="167" t="str">
        <x:v>export</x:v>
      </x:c>
      <x:c r="F25" s="167" t="str">
        <x:v>extra_EU27</x:v>
      </x:c>
      <x:c r="G25" s="171" t="n">
        <x:v>744400</x:v>
      </x:c>
      <x:c r="H25" s="192" t="n">
        <x:v>66017</x:v>
      </x:c>
      <x:c r="I25" s="192" t="str"/>
      <x:c r="J25" s="192" t="n">
        <x:v>0</x:v>
      </x:c>
      <x:c r="K25" s="167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L25" s="168" t="str">
        <x:v>border trade value; intra-EU import partner is consignment, extra-EU import partner is origin; not Dutch consumer sales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0" hidden="0" customWidth="1"/>
    <x:col min="9" max="9" width="20" hidden="0" customWidth="1"/>
    <x:col min="10" max="10" width="20" hidden="0" customWidth="1"/>
    <x:col min="11" max="11" width="58" hidden="0" customWidth="1"/>
    <x:col min="12" max="12" width="58" hidden="0" customWidth="1"/>
  </x:cols>
  <x:sheetData>
    <x:row r="1" ht="52.79999923706055" hidden="0" customHeight="1">
      <x:c r="A1" s="138" t="str">
        <x:v>year</x:v>
      </x:c>
      <x:c r="B1" s="139" t="str">
        <x:v>product</x:v>
      </x:c>
      <x:c r="C1" s="139" t="str">
        <x:v>scope</x:v>
      </x:c>
      <x:c r="D1" s="139" t="str">
        <x:v>flow</x:v>
      </x:c>
      <x:c r="E1" s="139" t="str">
        <x:v>partner</x:v>
      </x:c>
      <x:c r="F1" s="139" t="str">
        <x:v>partner_label</x:v>
      </x:c>
      <x:c r="G1" s="139" t="str">
        <x:v>partner_role</x:v>
      </x:c>
      <x:c r="H1" s="139" t="str">
        <x:v>value_eur</x:v>
      </x:c>
      <x:c r="I1" s="139" t="str">
        <x:v>rank</x:v>
      </x:c>
      <x:c r="J1" s="139" t="str">
        <x:v>share_of_country_partner_rows_pct</x:v>
      </x:c>
      <x:c r="K1" s="139" t="str">
        <x:v>source_url</x:v>
      </x:c>
      <x:c r="L1" s="140" t="str">
        <x:v>boundary</x:v>
      </x:c>
    </x:row>
    <x:row r="2" ht="226.8000030517578" hidden="0" customHeight="1">
      <x:c r="A2" s="160" t="n">
        <x:v>2025</x:v>
      </x:c>
      <x:c r="B2" s="161" t="str">
        <x:v>85434000</x:v>
      </x:c>
      <x:c r="C2" s="161" t="str">
        <x:v>core_devices</x:v>
      </x:c>
      <x:c r="D2" s="161" t="str">
        <x:v>import</x:v>
      </x:c>
      <x:c r="E2" s="161" t="str">
        <x:v>CN</x:v>
      </x:c>
      <x:c r="F2" s="161" t="str">
        <x:v>China</x:v>
      </x:c>
      <x:c r="G2" s="161" t="str">
        <x:v>extra-EU country of origin</x:v>
      </x:c>
      <x:c r="H2" s="169" t="n">
        <x:v>20490234</x:v>
      </x:c>
      <x:c r="I2" s="178" t="n">
        <x:v>1</x:v>
      </x:c>
      <x:c r="J2" s="172" t="n">
        <x:v>0.57939398</x:v>
      </x:c>
      <x:c r="K2" s="161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2" s="162" t="str">
        <x:v>partner share excludes Eurostat aggregate partner codes; role depends on intra/extra-EU flow convention</x:v>
      </x:c>
    </x:row>
    <x:row r="3" ht="226.8000030517578" hidden="0" customHeight="1">
      <x:c r="A3" s="163" t="n">
        <x:v>2025</x:v>
      </x:c>
      <x:c r="B3" s="164" t="str">
        <x:v>85434000</x:v>
      </x:c>
      <x:c r="C3" s="164" t="str">
        <x:v>core_devices</x:v>
      </x:c>
      <x:c r="D3" s="164" t="str">
        <x:v>import</x:v>
      </x:c>
      <x:c r="E3" s="164" t="str">
        <x:v>DE</x:v>
      </x:c>
      <x:c r="F3" s="164" t="str">
        <x:v>Germany (incl. German Democratic Republic 'DD' from 1991)</x:v>
      </x:c>
      <x:c r="G3" s="164" t="str">
        <x:v>intra-EU country of consignment</x:v>
      </x:c>
      <x:c r="H3" s="170" t="n">
        <x:v>8310753</x:v>
      </x:c>
      <x:c r="I3" s="179" t="n">
        <x:v>2</x:v>
      </x:c>
      <x:c r="J3" s="173" t="n">
        <x:v>0.23499977000000002</x:v>
      </x:c>
      <x:c r="K3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3" s="165" t="str">
        <x:v>partner share excludes Eurostat aggregate partner codes; role depends on intra/extra-EU flow convention</x:v>
      </x:c>
    </x:row>
    <x:row r="4" ht="226.8000030517578" hidden="0" customHeight="1">
      <x:c r="A4" s="163" t="n">
        <x:v>2025</x:v>
      </x:c>
      <x:c r="B4" s="164" t="str">
        <x:v>85434000</x:v>
      </x:c>
      <x:c r="C4" s="164" t="str">
        <x:v>core_devices</x:v>
      </x:c>
      <x:c r="D4" s="164" t="str">
        <x:v>import</x:v>
      </x:c>
      <x:c r="E4" s="164" t="str">
        <x:v>US</x:v>
      </x:c>
      <x:c r="F4" s="164" t="str">
        <x:v>United States (incl. Navassa Island (part of 'UM') from 1995 -&gt; 2000)</x:v>
      </x:c>
      <x:c r="G4" s="164" t="str">
        <x:v>extra-EU country of origin</x:v>
      </x:c>
      <x:c r="H4" s="170" t="n">
        <x:v>2175136</x:v>
      </x:c>
      <x:c r="I4" s="179" t="n">
        <x:v>3</x:v>
      </x:c>
      <x:c r="J4" s="173" t="n">
        <x:v>0.06150543</x:v>
      </x:c>
      <x:c r="K4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4" s="165" t="str">
        <x:v>partner share excludes Eurostat aggregate partner codes; role depends on intra/extra-EU flow convention</x:v>
      </x:c>
    </x:row>
    <x:row r="5" ht="226.8000030517578" hidden="0" customHeight="1">
      <x:c r="A5" s="163" t="n">
        <x:v>2025</x:v>
      </x:c>
      <x:c r="B5" s="164" t="str">
        <x:v>85434000</x:v>
      </x:c>
      <x:c r="C5" s="164" t="str">
        <x:v>core_devices</x:v>
      </x:c>
      <x:c r="D5" s="164" t="str">
        <x:v>import</x:v>
      </x:c>
      <x:c r="E5" s="164" t="str">
        <x:v>FR</x:v>
      </x:c>
      <x:c r="F5" s="164" t="str">
        <x:v>France (incl. Saint Barthélemy 'BL' -&gt; 2012; incl. French Guiana 'GF', Guadeloupe 'GP', Martinique 'MQ', Réunion 'RE' from 1997; incl. Mayotte 'YT' from 2014)</x:v>
      </x:c>
      <x:c r="G5" s="164" t="str">
        <x:v>intra-EU country of consignment</x:v>
      </x:c>
      <x:c r="H5" s="170" t="n">
        <x:v>1580840</x:v>
      </x:c>
      <x:c r="I5" s="179" t="n">
        <x:v>4</x:v>
      </x:c>
      <x:c r="J5" s="173" t="n">
        <x:v>0.04470077</x:v>
      </x:c>
      <x:c r="K5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5" s="165" t="str">
        <x:v>partner share excludes Eurostat aggregate partner codes; role depends on intra/extra-EU flow convention</x:v>
      </x:c>
    </x:row>
    <x:row r="6" ht="226.8000030517578" hidden="0" customHeight="1">
      <x:c r="A6" s="163" t="n">
        <x:v>2025</x:v>
      </x:c>
      <x:c r="B6" s="164" t="str">
        <x:v>85434000</x:v>
      </x:c>
      <x:c r="C6" s="164" t="str">
        <x:v>core_devices</x:v>
      </x:c>
      <x:c r="D6" s="164" t="str">
        <x:v>import</x:v>
      </x:c>
      <x:c r="E6" s="164" t="str">
        <x:v>PL</x:v>
      </x:c>
      <x:c r="F6" s="164" t="str">
        <x:v>Poland</x:v>
      </x:c>
      <x:c r="G6" s="164" t="str">
        <x:v>intra-EU country of consignment</x:v>
      </x:c>
      <x:c r="H6" s="170" t="n">
        <x:v>1418003</x:v>
      </x:c>
      <x:c r="I6" s="179" t="n">
        <x:v>5</x:v>
      </x:c>
      <x:c r="J6" s="173" t="n">
        <x:v>0.04009629000000001</x:v>
      </x:c>
      <x:c r="K6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6" s="165" t="str">
        <x:v>partner share excludes Eurostat aggregate partner codes; role depends on intra/extra-EU flow convention</x:v>
      </x:c>
    </x:row>
    <x:row r="7" ht="226.8000030517578" hidden="0" customHeight="1">
      <x:c r="A7" s="163" t="n">
        <x:v>2025</x:v>
      </x:c>
      <x:c r="B7" s="164" t="str">
        <x:v>85434000</x:v>
      </x:c>
      <x:c r="C7" s="164" t="str">
        <x:v>core_devices</x:v>
      </x:c>
      <x:c r="D7" s="164" t="str">
        <x:v>export</x:v>
      </x:c>
      <x:c r="E7" s="164" t="str">
        <x:v>FR</x:v>
      </x:c>
      <x:c r="F7" s="164" t="str">
        <x:v>France (incl. Saint Barthélemy 'BL' -&gt; 2012; incl. French Guiana 'GF', Guadeloupe 'GP', Martinique 'MQ', Réunion 'RE' from 1997; incl. Mayotte 'YT' from 2014)</x:v>
      </x:c>
      <x:c r="G7" s="164" t="str">
        <x:v>intra-EU destination member state</x:v>
      </x:c>
      <x:c r="H7" s="170" t="n">
        <x:v>12945163</x:v>
      </x:c>
      <x:c r="I7" s="179" t="n">
        <x:v>1</x:v>
      </x:c>
      <x:c r="J7" s="173" t="n">
        <x:v>0.40283715999999997</x:v>
      </x:c>
      <x:c r="K7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7" s="165" t="str">
        <x:v>partner share excludes Eurostat aggregate partner codes; role depends on intra/extra-EU flow convention</x:v>
      </x:c>
    </x:row>
    <x:row r="8" ht="226.8000030517578" hidden="0" customHeight="1">
      <x:c r="A8" s="163" t="n">
        <x:v>2025</x:v>
      </x:c>
      <x:c r="B8" s="164" t="str">
        <x:v>85434000</x:v>
      </x:c>
      <x:c r="C8" s="164" t="str">
        <x:v>core_devices</x:v>
      </x:c>
      <x:c r="D8" s="164" t="str">
        <x:v>export</x:v>
      </x:c>
      <x:c r="E8" s="164" t="str">
        <x:v>DE</x:v>
      </x:c>
      <x:c r="F8" s="164" t="str">
        <x:v>Germany (incl. German Democratic Republic 'DD' from 1991)</x:v>
      </x:c>
      <x:c r="G8" s="164" t="str">
        <x:v>intra-EU destination member state</x:v>
      </x:c>
      <x:c r="H8" s="170" t="n">
        <x:v>7751846</x:v>
      </x:c>
      <x:c r="I8" s="179" t="n">
        <x:v>2</x:v>
      </x:c>
      <x:c r="J8" s="173" t="n">
        <x:v>0.24122768</x:v>
      </x:c>
      <x:c r="K8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8" s="165" t="str">
        <x:v>partner share excludes Eurostat aggregate partner codes; role depends on intra/extra-EU flow convention</x:v>
      </x:c>
    </x:row>
    <x:row r="9" ht="226.8000030517578" hidden="0" customHeight="1">
      <x:c r="A9" s="163" t="n">
        <x:v>2025</x:v>
      </x:c>
      <x:c r="B9" s="164" t="str">
        <x:v>85434000</x:v>
      </x:c>
      <x:c r="C9" s="164" t="str">
        <x:v>core_devices</x:v>
      </x:c>
      <x:c r="D9" s="164" t="str">
        <x:v>export</x:v>
      </x:c>
      <x:c r="E9" s="164" t="str">
        <x:v>IE</x:v>
      </x:c>
      <x:c r="F9" s="164" t="str">
        <x:v>Ireland (Eire)</x:v>
      </x:c>
      <x:c r="G9" s="164" t="str">
        <x:v>intra-EU destination member state</x:v>
      </x:c>
      <x:c r="H9" s="170" t="n">
        <x:v>3238522</x:v>
      </x:c>
      <x:c r="I9" s="179" t="n">
        <x:v>3</x:v>
      </x:c>
      <x:c r="J9" s="173" t="n">
        <x:v>0.10077871999999999</x:v>
      </x:c>
      <x:c r="K9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9" s="165" t="str">
        <x:v>partner share excludes Eurostat aggregate partner codes; role depends on intra/extra-EU flow convention</x:v>
      </x:c>
    </x:row>
    <x:row r="10" ht="226.8000030517578" hidden="0" customHeight="1">
      <x:c r="A10" s="163" t="n">
        <x:v>2025</x:v>
      </x:c>
      <x:c r="B10" s="164" t="str">
        <x:v>85434000</x:v>
      </x:c>
      <x:c r="C10" s="164" t="str">
        <x:v>core_devices</x:v>
      </x:c>
      <x:c r="D10" s="164" t="str">
        <x:v>export</x:v>
      </x:c>
      <x:c r="E10" s="164" t="str">
        <x:v>BE</x:v>
      </x:c>
      <x:c r="F10" s="164" t="str">
        <x:v>Belgium (incl. Luxembourg 'LU' -&gt; 1998)</x:v>
      </x:c>
      <x:c r="G10" s="164" t="str">
        <x:v>intra-EU destination member state</x:v>
      </x:c>
      <x:c r="H10" s="170" t="n">
        <x:v>2420728</x:v>
      </x:c>
      <x:c r="I10" s="179" t="n">
        <x:v>4</x:v>
      </x:c>
      <x:c r="J10" s="173" t="n">
        <x:v>0.07533001</x:v>
      </x:c>
      <x:c r="K10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10" s="165" t="str">
        <x:v>partner share excludes Eurostat aggregate partner codes; role depends on intra/extra-EU flow convention</x:v>
      </x:c>
    </x:row>
    <x:row r="11" ht="226.8000030517578" hidden="0" customHeight="1">
      <x:c r="A11" s="163" t="n">
        <x:v>2025</x:v>
      </x:c>
      <x:c r="B11" s="164" t="str">
        <x:v>85434000</x:v>
      </x:c>
      <x:c r="C11" s="164" t="str">
        <x:v>core_devices</x:v>
      </x:c>
      <x:c r="D11" s="164" t="str">
        <x:v>export</x:v>
      </x:c>
      <x:c r="E11" s="164" t="str">
        <x:v>ES</x:v>
      </x:c>
      <x:c r="F11" s="164" t="str">
        <x:v>Spain (incl. Canary Islands 'XB' from 1997)</x:v>
      </x:c>
      <x:c r="G11" s="164" t="str">
        <x:v>intra-EU destination member state</x:v>
      </x:c>
      <x:c r="H11" s="170" t="n">
        <x:v>1183034</x:v>
      </x:c>
      <x:c r="I11" s="179" t="n">
        <x:v>5</x:v>
      </x:c>
      <x:c r="J11" s="173" t="n">
        <x:v>0.03681453</x:v>
      </x:c>
      <x:c r="K11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11" s="165" t="str">
        <x:v>partner share excludes Eurostat aggregate partner codes; role depends on intra/extra-EU flow convention</x:v>
      </x:c>
    </x:row>
    <x:row r="12" ht="226.8000030517578" hidden="0" customHeight="1">
      <x:c r="A12" s="163" t="n">
        <x:v>2025</x:v>
      </x:c>
      <x:c r="B12" s="164" t="str">
        <x:v>24041200</x:v>
      </x:c>
      <x:c r="C12" s="164" t="str">
        <x:v>broad_nicotine_inhalation_proxy</x:v>
      </x:c>
      <x:c r="D12" s="164" t="str">
        <x:v>import</x:v>
      </x:c>
      <x:c r="E12" s="164" t="str">
        <x:v>CN</x:v>
      </x:c>
      <x:c r="F12" s="164" t="str">
        <x:v>China</x:v>
      </x:c>
      <x:c r="G12" s="164" t="str">
        <x:v>extra-EU country of origin</x:v>
      </x:c>
      <x:c r="H12" s="170" t="n">
        <x:v>150948494</x:v>
      </x:c>
      <x:c r="I12" s="179" t="n">
        <x:v>1</x:v>
      </x:c>
      <x:c r="J12" s="173" t="n">
        <x:v>0.8910862199999999</x:v>
      </x:c>
      <x:c r="K12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12" s="165" t="str">
        <x:v>partner share excludes Eurostat aggregate partner codes; role depends on intra/extra-EU flow convention</x:v>
      </x:c>
    </x:row>
    <x:row r="13" ht="226.8000030517578" hidden="0" customHeight="1">
      <x:c r="A13" s="163" t="n">
        <x:v>2025</x:v>
      </x:c>
      <x:c r="B13" s="164" t="str">
        <x:v>24041200</x:v>
      </x:c>
      <x:c r="C13" s="164" t="str">
        <x:v>broad_nicotine_inhalation_proxy</x:v>
      </x:c>
      <x:c r="D13" s="164" t="str">
        <x:v>import</x:v>
      </x:c>
      <x:c r="E13" s="164" t="str">
        <x:v>BE</x:v>
      </x:c>
      <x:c r="F13" s="164" t="str">
        <x:v>Belgium (incl. Luxembourg 'LU' -&gt; 1998)</x:v>
      </x:c>
      <x:c r="G13" s="164" t="str">
        <x:v>intra-EU country of consignment</x:v>
      </x:c>
      <x:c r="H13" s="170" t="n">
        <x:v>4788534</x:v>
      </x:c>
      <x:c r="I13" s="179" t="n">
        <x:v>2</x:v>
      </x:c>
      <x:c r="J13" s="173" t="n">
        <x:v>0.0282679</x:v>
      </x:c>
      <x:c r="K13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13" s="165" t="str">
        <x:v>partner share excludes Eurostat aggregate partner codes; role depends on intra/extra-EU flow convention</x:v>
      </x:c>
    </x:row>
    <x:row r="14" ht="226.8000030517578" hidden="0" customHeight="1">
      <x:c r="A14" s="163" t="n">
        <x:v>2025</x:v>
      </x:c>
      <x:c r="B14" s="164" t="str">
        <x:v>24041200</x:v>
      </x:c>
      <x:c r="C14" s="164" t="str">
        <x:v>broad_nicotine_inhalation_proxy</x:v>
      </x:c>
      <x:c r="D14" s="164" t="str">
        <x:v>import</x:v>
      </x:c>
      <x:c r="E14" s="164" t="str">
        <x:v>DE</x:v>
      </x:c>
      <x:c r="F14" s="164" t="str">
        <x:v>Germany (incl. German Democratic Republic 'DD' from 1991)</x:v>
      </x:c>
      <x:c r="G14" s="164" t="str">
        <x:v>intra-EU country of consignment</x:v>
      </x:c>
      <x:c r="H14" s="170" t="n">
        <x:v>3265253</x:v>
      </x:c>
      <x:c r="I14" s="179" t="n">
        <x:v>3</x:v>
      </x:c>
      <x:c r="J14" s="173" t="n">
        <x:v>0.01927559</x:v>
      </x:c>
      <x:c r="K14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14" s="165" t="str">
        <x:v>partner share excludes Eurostat aggregate partner codes; role depends on intra/extra-EU flow convention</x:v>
      </x:c>
    </x:row>
    <x:row r="15" ht="226.8000030517578" hidden="0" customHeight="1">
      <x:c r="A15" s="163" t="n">
        <x:v>2025</x:v>
      </x:c>
      <x:c r="B15" s="164" t="str">
        <x:v>24041200</x:v>
      </x:c>
      <x:c r="C15" s="164" t="str">
        <x:v>broad_nicotine_inhalation_proxy</x:v>
      </x:c>
      <x:c r="D15" s="164" t="str">
        <x:v>import</x:v>
      </x:c>
      <x:c r="E15" s="164" t="str">
        <x:v>PL</x:v>
      </x:c>
      <x:c r="F15" s="164" t="str">
        <x:v>Poland</x:v>
      </x:c>
      <x:c r="G15" s="164" t="str">
        <x:v>intra-EU country of consignment</x:v>
      </x:c>
      <x:c r="H15" s="170" t="n">
        <x:v>2750564</x:v>
      </x:c>
      <x:c r="I15" s="179" t="n">
        <x:v>4</x:v>
      </x:c>
      <x:c r="J15" s="173" t="n">
        <x:v>0.01623726</x:v>
      </x:c>
      <x:c r="K15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15" s="165" t="str">
        <x:v>partner share excludes Eurostat aggregate partner codes; role depends on intra/extra-EU flow convention</x:v>
      </x:c>
    </x:row>
    <x:row r="16" ht="226.8000030517578" hidden="0" customHeight="1">
      <x:c r="A16" s="163" t="n">
        <x:v>2025</x:v>
      </x:c>
      <x:c r="B16" s="164" t="str">
        <x:v>24041200</x:v>
      </x:c>
      <x:c r="C16" s="164" t="str">
        <x:v>broad_nicotine_inhalation_proxy</x:v>
      </x:c>
      <x:c r="D16" s="164" t="str">
        <x:v>import</x:v>
      </x:c>
      <x:c r="E16" s="164" t="str">
        <x:v>IT</x:v>
      </x:c>
      <x:c r="F16" s="164" t="str">
        <x:v>Italy (incl. San Marino 'SM' -&gt; 1993)</x:v>
      </x:c>
      <x:c r="G16" s="164" t="str">
        <x:v>intra-EU country of consignment</x:v>
      </x:c>
      <x:c r="H16" s="170" t="n">
        <x:v>2627075</x:v>
      </x:c>
      <x:c r="I16" s="179" t="n">
        <x:v>5</x:v>
      </x:c>
      <x:c r="J16" s="173" t="n">
        <x:v>0.01550827</x:v>
      </x:c>
      <x:c r="K16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16" s="165" t="str">
        <x:v>partner share excludes Eurostat aggregate partner codes; role depends on intra/extra-EU flow convention</x:v>
      </x:c>
    </x:row>
    <x:row r="17" ht="226.8000030517578" hidden="0" customHeight="1">
      <x:c r="A17" s="163" t="n">
        <x:v>2025</x:v>
      </x:c>
      <x:c r="B17" s="164" t="str">
        <x:v>24041200</x:v>
      </x:c>
      <x:c r="C17" s="164" t="str">
        <x:v>broad_nicotine_inhalation_proxy</x:v>
      </x:c>
      <x:c r="D17" s="164" t="str">
        <x:v>export</x:v>
      </x:c>
      <x:c r="E17" s="164" t="str">
        <x:v>BE</x:v>
      </x:c>
      <x:c r="F17" s="164" t="str">
        <x:v>Belgium (incl. Luxembourg 'LU' -&gt; 1998)</x:v>
      </x:c>
      <x:c r="G17" s="164" t="str">
        <x:v>intra-EU destination member state</x:v>
      </x:c>
      <x:c r="H17" s="170" t="n">
        <x:v>9066263</x:v>
      </x:c>
      <x:c r="I17" s="179" t="n">
        <x:v>1</x:v>
      </x:c>
      <x:c r="J17" s="173" t="n">
        <x:v>0.24065071</x:v>
      </x:c>
      <x:c r="K17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17" s="165" t="str">
        <x:v>partner share excludes Eurostat aggregate partner codes; role depends on intra/extra-EU flow convention</x:v>
      </x:c>
    </x:row>
    <x:row r="18" ht="226.8000030517578" hidden="0" customHeight="1">
      <x:c r="A18" s="163" t="n">
        <x:v>2025</x:v>
      </x:c>
      <x:c r="B18" s="164" t="str">
        <x:v>24041200</x:v>
      </x:c>
      <x:c r="C18" s="164" t="str">
        <x:v>broad_nicotine_inhalation_proxy</x:v>
      </x:c>
      <x:c r="D18" s="164" t="str">
        <x:v>export</x:v>
      </x:c>
      <x:c r="E18" s="164" t="str">
        <x:v>IT</x:v>
      </x:c>
      <x:c r="F18" s="164" t="str">
        <x:v>Italy (incl. San Marino 'SM' -&gt; 1993)</x:v>
      </x:c>
      <x:c r="G18" s="164" t="str">
        <x:v>intra-EU destination member state</x:v>
      </x:c>
      <x:c r="H18" s="170" t="n">
        <x:v>8274081</x:v>
      </x:c>
      <x:c r="I18" s="179" t="n">
        <x:v>2</x:v>
      </x:c>
      <x:c r="J18" s="173" t="n">
        <x:v>0.21962340000000002</x:v>
      </x:c>
      <x:c r="K18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18" s="165" t="str">
        <x:v>partner share excludes Eurostat aggregate partner codes; role depends on intra/extra-EU flow convention</x:v>
      </x:c>
    </x:row>
    <x:row r="19" ht="226.8000030517578" hidden="0" customHeight="1">
      <x:c r="A19" s="163" t="n">
        <x:v>2025</x:v>
      </x:c>
      <x:c r="B19" s="164" t="str">
        <x:v>24041200</x:v>
      </x:c>
      <x:c r="C19" s="164" t="str">
        <x:v>broad_nicotine_inhalation_proxy</x:v>
      </x:c>
      <x:c r="D19" s="164" t="str">
        <x:v>export</x:v>
      </x:c>
      <x:c r="E19" s="164" t="str">
        <x:v>FR</x:v>
      </x:c>
      <x:c r="F19" s="164" t="str">
        <x:v>France (incl. Saint Barthélemy 'BL' -&gt; 2012; incl. French Guiana 'GF', Guadeloupe 'GP', Martinique 'MQ', Réunion 'RE' from 1997; incl. Mayotte 'YT' from 2014)</x:v>
      </x:c>
      <x:c r="G19" s="164" t="str">
        <x:v>intra-EU destination member state</x:v>
      </x:c>
      <x:c r="H19" s="170" t="n">
        <x:v>5209603</x:v>
      </x:c>
      <x:c r="I19" s="179" t="n">
        <x:v>3</x:v>
      </x:c>
      <x:c r="J19" s="173" t="n">
        <x:v>0.13828131000000002</x:v>
      </x:c>
      <x:c r="K19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19" s="165" t="str">
        <x:v>partner share excludes Eurostat aggregate partner codes; role depends on intra/extra-EU flow convention</x:v>
      </x:c>
    </x:row>
    <x:row r="20" ht="226.8000030517578" hidden="0" customHeight="1">
      <x:c r="A20" s="163" t="n">
        <x:v>2025</x:v>
      </x:c>
      <x:c r="B20" s="164" t="str">
        <x:v>24041200</x:v>
      </x:c>
      <x:c r="C20" s="164" t="str">
        <x:v>broad_nicotine_inhalation_proxy</x:v>
      </x:c>
      <x:c r="D20" s="164" t="str">
        <x:v>export</x:v>
      </x:c>
      <x:c r="E20" s="164" t="str">
        <x:v>IE</x:v>
      </x:c>
      <x:c r="F20" s="164" t="str">
        <x:v>Ireland (Eire)</x:v>
      </x:c>
      <x:c r="G20" s="164" t="str">
        <x:v>intra-EU destination member state</x:v>
      </x:c>
      <x:c r="H20" s="170" t="n">
        <x:v>4143462</x:v>
      </x:c>
      <x:c r="I20" s="179" t="n">
        <x:v>4</x:v>
      </x:c>
      <x:c r="J20" s="173" t="n">
        <x:v>0.10998215</x:v>
      </x:c>
      <x:c r="K20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20" s="165" t="str">
        <x:v>partner share excludes Eurostat aggregate partner codes; role depends on intra/extra-EU flow convention</x:v>
      </x:c>
    </x:row>
    <x:row r="21" ht="226.8000030517578" hidden="0" customHeight="1">
      <x:c r="A21" s="163" t="n">
        <x:v>2025</x:v>
      </x:c>
      <x:c r="B21" s="164" t="str">
        <x:v>24041200</x:v>
      </x:c>
      <x:c r="C21" s="164" t="str">
        <x:v>broad_nicotine_inhalation_proxy</x:v>
      </x:c>
      <x:c r="D21" s="164" t="str">
        <x:v>export</x:v>
      </x:c>
      <x:c r="E21" s="164" t="str">
        <x:v>PL</x:v>
      </x:c>
      <x:c r="F21" s="164" t="str">
        <x:v>Poland</x:v>
      </x:c>
      <x:c r="G21" s="164" t="str">
        <x:v>intra-EU destination member state</x:v>
      </x:c>
      <x:c r="H21" s="170" t="n">
        <x:v>3477756</x:v>
      </x:c>
      <x:c r="I21" s="179" t="n">
        <x:v>5</x:v>
      </x:c>
      <x:c r="J21" s="173" t="n">
        <x:v>0.09231196000000001</x:v>
      </x:c>
      <x:c r="K21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21" s="165" t="str">
        <x:v>partner share excludes Eurostat aggregate partner codes; role depends on intra/extra-EU flow convention</x:v>
      </x:c>
    </x:row>
    <x:row r="22" ht="226.8000030517578" hidden="0" customHeight="1">
      <x:c r="A22" s="163" t="n">
        <x:v>2025</x:v>
      </x:c>
      <x:c r="B22" s="164" t="str">
        <x:v>24041910</x:v>
      </x:c>
      <x:c r="C22" s="164" t="str">
        <x:v>broad_nicotine_free_tobacco_substitute_inhalation_proxy</x:v>
      </x:c>
      <x:c r="D22" s="164" t="str">
        <x:v>import</x:v>
      </x:c>
      <x:c r="E22" s="164" t="str">
        <x:v>BE</x:v>
      </x:c>
      <x:c r="F22" s="164" t="str">
        <x:v>Belgium (incl. Luxembourg 'LU' -&gt; 1998)</x:v>
      </x:c>
      <x:c r="G22" s="164" t="str">
        <x:v>intra-EU country of consignment</x:v>
      </x:c>
      <x:c r="H22" s="170" t="n">
        <x:v>18183</x:v>
      </x:c>
      <x:c r="I22" s="179" t="n">
        <x:v>1</x:v>
      </x:c>
      <x:c r="J22" s="173" t="n">
        <x:v>0.97752809</x:v>
      </x:c>
      <x:c r="K22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22" s="165" t="str">
        <x:v>partner share excludes Eurostat aggregate partner codes; role depends on intra/extra-EU flow convention</x:v>
      </x:c>
    </x:row>
    <x:row r="23" ht="226.8000030517578" hidden="0" customHeight="1">
      <x:c r="A23" s="163" t="n">
        <x:v>2025</x:v>
      </x:c>
      <x:c r="B23" s="164" t="str">
        <x:v>24041910</x:v>
      </x:c>
      <x:c r="C23" s="164" t="str">
        <x:v>broad_nicotine_free_tobacco_substitute_inhalation_proxy</x:v>
      </x:c>
      <x:c r="D23" s="164" t="str">
        <x:v>import</x:v>
      </x:c>
      <x:c r="E23" s="164" t="str">
        <x:v>RO</x:v>
      </x:c>
      <x:c r="F23" s="164" t="str">
        <x:v>Romania</x:v>
      </x:c>
      <x:c r="G23" s="164" t="str">
        <x:v>intra-EU country of consignment</x:v>
      </x:c>
      <x:c r="H23" s="170" t="n">
        <x:v>223</x:v>
      </x:c>
      <x:c r="I23" s="179" t="n">
        <x:v>2</x:v>
      </x:c>
      <x:c r="J23" s="173" t="n">
        <x:v>0.0119886</x:v>
      </x:c>
      <x:c r="K23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23" s="165" t="str">
        <x:v>partner share excludes Eurostat aggregate partner codes; role depends on intra/extra-EU flow convention</x:v>
      </x:c>
    </x:row>
    <x:row r="24" ht="226.8000030517578" hidden="0" customHeight="1">
      <x:c r="A24" s="163" t="n">
        <x:v>2025</x:v>
      </x:c>
      <x:c r="B24" s="164" t="str">
        <x:v>24041910</x:v>
      </x:c>
      <x:c r="C24" s="164" t="str">
        <x:v>broad_nicotine_free_tobacco_substitute_inhalation_proxy</x:v>
      </x:c>
      <x:c r="D24" s="164" t="str">
        <x:v>import</x:v>
      </x:c>
      <x:c r="E24" s="164" t="str">
        <x:v>CZ</x:v>
      </x:c>
      <x:c r="F24" s="164" t="str">
        <x:v>Czechia</x:v>
      </x:c>
      <x:c r="G24" s="164" t="str">
        <x:v>intra-EU country of consignment</x:v>
      </x:c>
      <x:c r="H24" s="170" t="n">
        <x:v>108</x:v>
      </x:c>
      <x:c r="I24" s="179" t="n">
        <x:v>3</x:v>
      </x:c>
      <x:c r="J24" s="173" t="n">
        <x:v>0.0058061399999999996</x:v>
      </x:c>
      <x:c r="K24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24" s="165" t="str">
        <x:v>partner share excludes Eurostat aggregate partner codes; role depends on intra/extra-EU flow convention</x:v>
      </x:c>
    </x:row>
    <x:row r="25" ht="226.8000030517578" hidden="0" customHeight="1">
      <x:c r="A25" s="163" t="n">
        <x:v>2025</x:v>
      </x:c>
      <x:c r="B25" s="164" t="str">
        <x:v>24041910</x:v>
      </x:c>
      <x:c r="C25" s="164" t="str">
        <x:v>broad_nicotine_free_tobacco_substitute_inhalation_proxy</x:v>
      </x:c>
      <x:c r="D25" s="164" t="str">
        <x:v>import</x:v>
      </x:c>
      <x:c r="E25" s="164" t="str">
        <x:v>EE</x:v>
      </x:c>
      <x:c r="F25" s="164" t="str">
        <x:v>Estonia</x:v>
      </x:c>
      <x:c r="G25" s="164" t="str">
        <x:v>intra-EU country of consignment</x:v>
      </x:c>
      <x:c r="H25" s="170" t="n">
        <x:v>53</x:v>
      </x:c>
      <x:c r="I25" s="179" t="n">
        <x:v>4</x:v>
      </x:c>
      <x:c r="J25" s="173" t="n">
        <x:v>0.00284931</x:v>
      </x:c>
      <x:c r="K25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25" s="165" t="str">
        <x:v>partner share excludes Eurostat aggregate partner codes; role depends on intra/extra-EU flow convention</x:v>
      </x:c>
    </x:row>
    <x:row r="26" ht="226.8000030517578" hidden="0" customHeight="1">
      <x:c r="A26" s="163" t="n">
        <x:v>2025</x:v>
      </x:c>
      <x:c r="B26" s="164" t="str">
        <x:v>24041910</x:v>
      </x:c>
      <x:c r="C26" s="164" t="str">
        <x:v>broad_nicotine_free_tobacco_substitute_inhalation_proxy</x:v>
      </x:c>
      <x:c r="D26" s="164" t="str">
        <x:v>import</x:v>
      </x:c>
      <x:c r="E26" s="164" t="str">
        <x:v>IT</x:v>
      </x:c>
      <x:c r="F26" s="164" t="str">
        <x:v>Italy (incl. San Marino 'SM' -&gt; 1993)</x:v>
      </x:c>
      <x:c r="G26" s="164" t="str">
        <x:v>intra-EU country of consignment</x:v>
      </x:c>
      <x:c r="H26" s="170" t="n">
        <x:v>14</x:v>
      </x:c>
      <x:c r="I26" s="179" t="n">
        <x:v>5</x:v>
      </x:c>
      <x:c r="J26" s="173" t="n">
        <x:v>0.00075265</x:v>
      </x:c>
      <x:c r="K26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26" s="165" t="str">
        <x:v>partner share excludes Eurostat aggregate partner codes; role depends on intra/extra-EU flow convention</x:v>
      </x:c>
    </x:row>
    <x:row r="27" ht="226.8000030517578" hidden="0" customHeight="1">
      <x:c r="A27" s="163" t="n">
        <x:v>2025</x:v>
      </x:c>
      <x:c r="B27" s="164" t="str">
        <x:v>24041910</x:v>
      </x:c>
      <x:c r="C27" s="164" t="str">
        <x:v>broad_nicotine_free_tobacco_substitute_inhalation_proxy</x:v>
      </x:c>
      <x:c r="D27" s="164" t="str">
        <x:v>export</x:v>
      </x:c>
      <x:c r="E27" s="164" t="str">
        <x:v>GB</x:v>
      </x:c>
      <x:c r="F27" s="164" t="str">
        <x:v>United Kingdom</x:v>
      </x:c>
      <x:c r="G27" s="164" t="str">
        <x:v>extra-EU final destination</x:v>
      </x:c>
      <x:c r="H27" s="170" t="n">
        <x:v>4423</x:v>
      </x:c>
      <x:c r="I27" s="179" t="n">
        <x:v>1</x:v>
      </x:c>
      <x:c r="J27" s="173" t="n">
        <x:v>1</x:v>
      </x:c>
      <x:c r="K27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27" s="165" t="str">
        <x:v>partner share excludes Eurostat aggregate partner codes; role depends on intra/extra-EU flow convention</x:v>
      </x:c>
    </x:row>
    <x:row r="28" ht="226.8000030517578" hidden="0" customHeight="1">
      <x:c r="A28" s="163" t="n">
        <x:v>2025</x:v>
      </x:c>
      <x:c r="B28" s="164" t="str">
        <x:v>24041990</x:v>
      </x:c>
      <x:c r="C28" s="164" t="str">
        <x:v>broad_other_substitute_inhalation_proxy</x:v>
      </x:c>
      <x:c r="D28" s="164" t="str">
        <x:v>import</x:v>
      </x:c>
      <x:c r="E28" s="164" t="str">
        <x:v>DE</x:v>
      </x:c>
      <x:c r="F28" s="164" t="str">
        <x:v>Germany (incl. German Democratic Republic 'DD' from 1991)</x:v>
      </x:c>
      <x:c r="G28" s="164" t="str">
        <x:v>intra-EU country of consignment</x:v>
      </x:c>
      <x:c r="H28" s="170" t="n">
        <x:v>26191459</x:v>
      </x:c>
      <x:c r="I28" s="179" t="n">
        <x:v>1</x:v>
      </x:c>
      <x:c r="J28" s="173" t="n">
        <x:v>0.8840658299999999</x:v>
      </x:c>
      <x:c r="K28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28" s="165" t="str">
        <x:v>partner share excludes Eurostat aggregate partner codes; role depends on intra/extra-EU flow convention</x:v>
      </x:c>
    </x:row>
    <x:row r="29" ht="226.8000030517578" hidden="0" customHeight="1">
      <x:c r="A29" s="163" t="n">
        <x:v>2025</x:v>
      </x:c>
      <x:c r="B29" s="164" t="str">
        <x:v>24041990</x:v>
      </x:c>
      <x:c r="C29" s="164" t="str">
        <x:v>broad_other_substitute_inhalation_proxy</x:v>
      </x:c>
      <x:c r="D29" s="164" t="str">
        <x:v>import</x:v>
      </x:c>
      <x:c r="E29" s="164" t="str">
        <x:v>CN</x:v>
      </x:c>
      <x:c r="F29" s="164" t="str">
        <x:v>China</x:v>
      </x:c>
      <x:c r="G29" s="164" t="str">
        <x:v>extra-EU country of origin</x:v>
      </x:c>
      <x:c r="H29" s="170" t="n">
        <x:v>2831217</x:v>
      </x:c>
      <x:c r="I29" s="179" t="n">
        <x:v>2</x:v>
      </x:c>
      <x:c r="J29" s="173" t="n">
        <x:v>0.09556483</x:v>
      </x:c>
      <x:c r="K29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29" s="165" t="str">
        <x:v>partner share excludes Eurostat aggregate partner codes; role depends on intra/extra-EU flow convention</x:v>
      </x:c>
    </x:row>
    <x:row r="30" ht="226.8000030517578" hidden="0" customHeight="1">
      <x:c r="A30" s="163" t="n">
        <x:v>2025</x:v>
      </x:c>
      <x:c r="B30" s="164" t="str">
        <x:v>24041990</x:v>
      </x:c>
      <x:c r="C30" s="164" t="str">
        <x:v>broad_other_substitute_inhalation_proxy</x:v>
      </x:c>
      <x:c r="D30" s="164" t="str">
        <x:v>import</x:v>
      </x:c>
      <x:c r="E30" s="164" t="str">
        <x:v>FR</x:v>
      </x:c>
      <x:c r="F30" s="164" t="str">
        <x:v>France (incl. Saint Barthélemy 'BL' -&gt; 2012; incl. French Guiana 'GF', Guadeloupe 'GP', Martinique 'MQ', Réunion 'RE' from 1997; incl. Mayotte 'YT' from 2014)</x:v>
      </x:c>
      <x:c r="G30" s="164" t="str">
        <x:v>intra-EU country of consignment</x:v>
      </x:c>
      <x:c r="H30" s="170" t="n">
        <x:v>217241</x:v>
      </x:c>
      <x:c r="I30" s="179" t="n">
        <x:v>3</x:v>
      </x:c>
      <x:c r="J30" s="173" t="n">
        <x:v>0.00733275</x:v>
      </x:c>
      <x:c r="K30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30" s="165" t="str">
        <x:v>partner share excludes Eurostat aggregate partner codes; role depends on intra/extra-EU flow convention</x:v>
      </x:c>
    </x:row>
    <x:row r="31" ht="226.8000030517578" hidden="0" customHeight="1">
      <x:c r="A31" s="163" t="n">
        <x:v>2025</x:v>
      </x:c>
      <x:c r="B31" s="164" t="str">
        <x:v>24041990</x:v>
      </x:c>
      <x:c r="C31" s="164" t="str">
        <x:v>broad_other_substitute_inhalation_proxy</x:v>
      </x:c>
      <x:c r="D31" s="164" t="str">
        <x:v>import</x:v>
      </x:c>
      <x:c r="E31" s="164" t="str">
        <x:v>ID</x:v>
      </x:c>
      <x:c r="F31" s="164" t="str">
        <x:v>Indonesia (incl. East Timor 'TP' from 1977 -&gt; 2000)</x:v>
      </x:c>
      <x:c r="G31" s="164" t="str">
        <x:v>extra-EU country of origin</x:v>
      </x:c>
      <x:c r="H31" s="170" t="n">
        <x:v>162181</x:v>
      </x:c>
      <x:c r="I31" s="179" t="n">
        <x:v>4</x:v>
      </x:c>
      <x:c r="J31" s="173" t="n">
        <x:v>0.005474250000000001</x:v>
      </x:c>
      <x:c r="K31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31" s="165" t="str">
        <x:v>partner share excludes Eurostat aggregate partner codes; role depends on intra/extra-EU flow convention</x:v>
      </x:c>
    </x:row>
    <x:row r="32" ht="226.8000030517578" hidden="0" customHeight="1">
      <x:c r="A32" s="163" t="n">
        <x:v>2025</x:v>
      </x:c>
      <x:c r="B32" s="164" t="str">
        <x:v>24041990</x:v>
      </x:c>
      <x:c r="C32" s="164" t="str">
        <x:v>broad_other_substitute_inhalation_proxy</x:v>
      </x:c>
      <x:c r="D32" s="164" t="str">
        <x:v>import</x:v>
      </x:c>
      <x:c r="E32" s="164" t="str">
        <x:v>PL</x:v>
      </x:c>
      <x:c r="F32" s="164" t="str">
        <x:v>Poland</x:v>
      </x:c>
      <x:c r="G32" s="164" t="str">
        <x:v>intra-EU country of consignment</x:v>
      </x:c>
      <x:c r="H32" s="170" t="n">
        <x:v>60795</x:v>
      </x:c>
      <x:c r="I32" s="179" t="n">
        <x:v>5</x:v>
      </x:c>
      <x:c r="J32" s="173" t="n">
        <x:v>0.00205207</x:v>
      </x:c>
      <x:c r="K32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32" s="165" t="str">
        <x:v>partner share excludes Eurostat aggregate partner codes; role depends on intra/extra-EU flow convention</x:v>
      </x:c>
    </x:row>
    <x:row r="33" ht="226.8000030517578" hidden="0" customHeight="1">
      <x:c r="A33" s="163" t="n">
        <x:v>2025</x:v>
      </x:c>
      <x:c r="B33" s="164" t="str">
        <x:v>24041990</x:v>
      </x:c>
      <x:c r="C33" s="164" t="str">
        <x:v>broad_other_substitute_inhalation_proxy</x:v>
      </x:c>
      <x:c r="D33" s="164" t="str">
        <x:v>export</x:v>
      </x:c>
      <x:c r="E33" s="164" t="str">
        <x:v>DE</x:v>
      </x:c>
      <x:c r="F33" s="164" t="str">
        <x:v>Germany (incl. German Democratic Republic 'DD' from 1991)</x:v>
      </x:c>
      <x:c r="G33" s="164" t="str">
        <x:v>intra-EU destination member state</x:v>
      </x:c>
      <x:c r="H33" s="170" t="n">
        <x:v>25372526</x:v>
      </x:c>
      <x:c r="I33" s="179" t="n">
        <x:v>1</x:v>
      </x:c>
      <x:c r="J33" s="173" t="n">
        <x:v>0.8625492699999999</x:v>
      </x:c>
      <x:c r="K33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33" s="165" t="str">
        <x:v>partner share excludes Eurostat aggregate partner codes; role depends on intra/extra-EU flow convention</x:v>
      </x:c>
    </x:row>
    <x:row r="34" ht="226.8000030517578" hidden="0" customHeight="1">
      <x:c r="A34" s="163" t="n">
        <x:v>2025</x:v>
      </x:c>
      <x:c r="B34" s="164" t="str">
        <x:v>24041990</x:v>
      </x:c>
      <x:c r="C34" s="164" t="str">
        <x:v>broad_other_substitute_inhalation_proxy</x:v>
      </x:c>
      <x:c r="D34" s="164" t="str">
        <x:v>export</x:v>
      </x:c>
      <x:c r="E34" s="164" t="str">
        <x:v>BE</x:v>
      </x:c>
      <x:c r="F34" s="164" t="str">
        <x:v>Belgium (incl. Luxembourg 'LU' -&gt; 1998)</x:v>
      </x:c>
      <x:c r="G34" s="164" t="str">
        <x:v>intra-EU destination member state</x:v>
      </x:c>
      <x:c r="H34" s="170" t="n">
        <x:v>1835913</x:v>
      </x:c>
      <x:c r="I34" s="179" t="n">
        <x:v>2</x:v>
      </x:c>
      <x:c r="J34" s="173" t="n">
        <x:v>0.0624126</x:v>
      </x:c>
      <x:c r="K34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34" s="165" t="str">
        <x:v>partner share excludes Eurostat aggregate partner codes; role depends on intra/extra-EU flow convention</x:v>
      </x:c>
    </x:row>
    <x:row r="35" ht="226.8000030517578" hidden="0" customHeight="1">
      <x:c r="A35" s="163" t="n">
        <x:v>2025</x:v>
      </x:c>
      <x:c r="B35" s="164" t="str">
        <x:v>24041990</x:v>
      </x:c>
      <x:c r="C35" s="164" t="str">
        <x:v>broad_other_substitute_inhalation_proxy</x:v>
      </x:c>
      <x:c r="D35" s="164" t="str">
        <x:v>export</x:v>
      </x:c>
      <x:c r="E35" s="164" t="str">
        <x:v>SI</x:v>
      </x:c>
      <x:c r="F35" s="164" t="str">
        <x:v>Slovenia</x:v>
      </x:c>
      <x:c r="G35" s="164" t="str">
        <x:v>intra-EU destination member state</x:v>
      </x:c>
      <x:c r="H35" s="170" t="n">
        <x:v>694028</x:v>
      </x:c>
      <x:c r="I35" s="179" t="n">
        <x:v>3</x:v>
      </x:c>
      <x:c r="J35" s="173" t="n">
        <x:v>0.023593760000000002</x:v>
      </x:c>
      <x:c r="K35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35" s="165" t="str">
        <x:v>partner share excludes Eurostat aggregate partner codes; role depends on intra/extra-EU flow convention</x:v>
      </x:c>
    </x:row>
    <x:row r="36" ht="226.8000030517578" hidden="0" customHeight="1">
      <x:c r="A36" s="163" t="n">
        <x:v>2025</x:v>
      </x:c>
      <x:c r="B36" s="164" t="str">
        <x:v>24041990</x:v>
      </x:c>
      <x:c r="C36" s="164" t="str">
        <x:v>broad_other_substitute_inhalation_proxy</x:v>
      </x:c>
      <x:c r="D36" s="164" t="str">
        <x:v>export</x:v>
      </x:c>
      <x:c r="E36" s="164" t="str">
        <x:v>GB</x:v>
      </x:c>
      <x:c r="F36" s="164" t="str">
        <x:v>United Kingdom</x:v>
      </x:c>
      <x:c r="G36" s="164" t="str">
        <x:v>extra-EU final destination</x:v>
      </x:c>
      <x:c r="H36" s="170" t="n">
        <x:v>603846</x:v>
      </x:c>
      <x:c r="I36" s="179" t="n">
        <x:v>4</x:v>
      </x:c>
      <x:c r="J36" s="173" t="n">
        <x:v>0.02052799</x:v>
      </x:c>
      <x:c r="K36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36" s="165" t="str">
        <x:v>partner share excludes Eurostat aggregate partner codes; role depends on intra/extra-EU flow convention</x:v>
      </x:c>
    </x:row>
    <x:row r="37" ht="226.8000030517578" hidden="0" customHeight="1">
      <x:c r="A37" s="166" t="n">
        <x:v>2025</x:v>
      </x:c>
      <x:c r="B37" s="167" t="str">
        <x:v>24041990</x:v>
      </x:c>
      <x:c r="C37" s="167" t="str">
        <x:v>broad_other_substitute_inhalation_proxy</x:v>
      </x:c>
      <x:c r="D37" s="167" t="str">
        <x:v>export</x:v>
      </x:c>
      <x:c r="E37" s="167" t="str">
        <x:v>FR</x:v>
      </x:c>
      <x:c r="F37" s="167" t="str">
        <x:v>France (incl. Saint Barthélemy 'BL' -&gt; 2012; incl. French Guiana 'GF', Guadeloupe 'GP', Martinique 'MQ', Réunion 'RE' from 1997; incl. Mayotte 'YT' from 2014)</x:v>
      </x:c>
      <x:c r="G37" s="167" t="str">
        <x:v>intra-EU destination member state</x:v>
      </x:c>
      <x:c r="H37" s="171" t="n">
        <x:v>321173</x:v>
      </x:c>
      <x:c r="I37" s="180" t="n">
        <x:v>5</x:v>
      </x:c>
      <x:c r="J37" s="174" t="n">
        <x:v>0.01091841</x:v>
      </x:c>
      <x:c r="K37" s="167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L37" s="168" t="str">
        <x:v>partner share excludes Eurostat aggregate partner codes; role depends on intra/extra-EU flow convention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52" hidden="0" customWidth="1"/>
    <x:col min="5" max="5" width="52" hidden="0" customWidth="1"/>
  </x:cols>
  <x:sheetData>
    <x:row r="1" ht="26.399999618530273" hidden="0" customHeight="1">
      <x:c r="A1" s="138" t="str">
        <x:v>Input</x:v>
      </x:c>
      <x:c r="B1" s="139" t="str">
        <x:v>Value</x:v>
      </x:c>
      <x:c r="C1" s="139" t="str">
        <x:v>Unit</x:v>
      </x:c>
      <x:c r="D1" s="139" t="str">
        <x:v>Source</x:v>
      </x:c>
      <x:c r="E1" s="140" t="str">
        <x:v>Audit boundary</x:v>
      </x:c>
    </x:row>
    <x:row r="2" ht="32.400001525878906" hidden="0" customHeight="1">
      <x:c r="A2" s="160" t="str">
        <x:v>Total survey respondents</x:v>
      </x:c>
      <x:c r="B2" s="190" t="n">
        <x:v>5529</x:v>
      </x:c>
      <x:c r="C2" s="161" t="str">
        <x:v>persons</x:v>
      </x:c>
      <x:c r="D2" s="161" t="str">
        <x:v>Donkere wolken p. 191-193</x:v>
      </x:c>
      <x:c r="E2" s="162" t="str">
        <x:v>Weighted full-sample count</x:v>
      </x:c>
    </x:row>
    <x:row r="3" ht="43.20000076293945" hidden="0" customHeight="1">
      <x:c r="A3" s="163" t="str">
        <x:v>Raw vaper respondents</x:v>
      </x:c>
      <x:c r="B3" s="191" t="n">
        <x:v>443</x:v>
      </x:c>
      <x:c r="C3" s="164" t="str">
        <x:v>persons</x:v>
      </x:c>
      <x:c r="D3" s="164" t="str">
        <x:v>Donkere wolken p. 193</x:v>
      </x:c>
      <x:c r="E3" s="165" t="str">
        <x:v>Use for actual respondent count</x:v>
      </x:c>
    </x:row>
    <x:row r="4" ht="32.400001525878906" hidden="0" customHeight="1">
      <x:c r="A4" s="163" t="str">
        <x:v>Weighted vaper count</x:v>
      </x:c>
      <x:c r="B4" s="191" t="n">
        <x:v>501</x:v>
      </x:c>
      <x:c r="C4" s="164" t="str">
        <x:v>weighted persons</x:v>
      </x:c>
      <x:c r="D4" s="164" t="str">
        <x:v>Donkere wolken p. 193</x:v>
      </x:c>
      <x:c r="E4" s="165" t="str">
        <x:v>Not 501 distinct respondents</x:v>
      </x:c>
    </x:row>
    <x:row r="5" ht="32.400001525878906" hidden="0" customHeight="1">
      <x:c r="A5" s="163" t="str">
        <x:v>Minimum adult weight</x:v>
      </x:c>
      <x:c r="B5" s="191" t="n">
        <x:v>0.58</x:v>
      </x:c>
      <x:c r="C5" s="164" t="str">
        <x:v>factor</x:v>
      </x:c>
      <x:c r="D5" s="164" t="str">
        <x:v>Donkere wolken p. 190-191</x:v>
      </x:c>
      <x:c r="E5" s="165" t="str">
        <x:v>Under-16 weight fixed at 1</x:v>
      </x:c>
    </x:row>
    <x:row r="6" ht="32.400001525878906" hidden="0" customHeight="1">
      <x:c r="A6" s="163" t="str">
        <x:v>Maximum adult weight</x:v>
      </x:c>
      <x:c r="B6" s="191" t="n">
        <x:v>1.58</x:v>
      </x:c>
      <x:c r="C6" s="164" t="str">
        <x:v>factor</x:v>
      </x:c>
      <x:c r="D6" s="164" t="str">
        <x:v>Donkere wolken p. 190-191</x:v>
      </x:c>
      <x:c r="E6" s="165" t="str">
        <x:v>Under-16 weight fixed at 1</x:v>
      </x:c>
    </x:row>
    <x:row r="7" ht="43.20000076293945" hidden="0" customHeight="1">
      <x:c r="A7" s="163" t="str">
        <x:v>Social-media advertisements</x:v>
      </x:c>
      <x:c r="B7" s="191" t="n">
        <x:v>122</x:v>
      </x:c>
      <x:c r="C7" s="164" t="str">
        <x:v>ads</x:v>
      </x:c>
      <x:c r="D7" s="164" t="str">
        <x:v>Donkere wolken p. 15-16</x:v>
      </x:c>
      <x:c r="E7" s="165" t="str">
        <x:v>No sampling-frame denominator</x:v>
      </x:c>
    </x:row>
    <x:row r="8" ht="43.20000076293945" hidden="0" customHeight="1">
      <x:c r="A8" s="163" t="str">
        <x:v>Professional interviewees</x:v>
      </x:c>
      <x:c r="B8" s="191" t="n">
        <x:v>45</x:v>
      </x:c>
      <x:c r="C8" s="164" t="str">
        <x:v>persons</x:v>
      </x:c>
      <x:c r="D8" s="164" t="str">
        <x:v>Donkere wolken p. 16 and 197</x:v>
      </x:c>
      <x:c r="E8" s="165" t="str">
        <x:v>Purposive/snowball qualitative sample</x:v>
      </x:c>
    </x:row>
    <x:row r="9" ht="43.20000076293945" hidden="0" customHeight="1">
      <x:c r="A9" s="163" t="str">
        <x:v>Social-worker questionnaire</x:v>
      </x:c>
      <x:c r="B9" s="191" t="n">
        <x:v>38</x:v>
      </x:c>
      <x:c r="C9" s="164" t="str">
        <x:v>responses</x:v>
      </x:c>
      <x:c r="D9" s="164" t="str">
        <x:v>Donkere wolken p. 16 and 197</x:v>
      </x:c>
      <x:c r="E9" s="165" t="str">
        <x:v>Approximately 400-person WhatsApp group</x:v>
      </x:c>
    </x:row>
    <x:row r="10" ht="43.20000076293945" hidden="0" customHeight="1">
      <x:c r="A10" s="166" t="str">
        <x:v>Youth interviewees</x:v>
      </x:c>
      <x:c r="B10" s="192" t="n">
        <x:v>20</x:v>
      </x:c>
      <x:c r="C10" s="167" t="str">
        <x:v>persons</x:v>
      </x:c>
      <x:c r="D10" s="167" t="str">
        <x:v>Donkere wolken p. 16 and 198</x:v>
      </x:c>
      <x:c r="E10" s="168" t="str">
        <x:v>Dealer count and age metadata conflict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38" hidden="0" customWidth="1"/>
    <x:col min="3" max="3" width="16" hidden="0" customWidth="1"/>
    <x:col min="4" max="4" width="68" hidden="0" customWidth="1"/>
    <x:col min="5" max="5" width="52" hidden="0" customWidth="1"/>
  </x:cols>
  <x:sheetData>
    <x:row r="1" ht="26.399999618530273" hidden="0" customHeight="1">
      <x:c r="A1" s="138" t="str">
        <x:v>Source file</x:v>
      </x:c>
      <x:c r="B1" s="139" t="str">
        <x:v>SHA-256</x:v>
      </x:c>
      <x:c r="C1" s="139" t="str">
        <x:v>Bytes</x:v>
      </x:c>
      <x:c r="D1" s="139" t="str">
        <x:v>Primary URL</x:v>
      </x:c>
      <x:c r="E1" s="140" t="str">
        <x:v>Use / boundary</x:v>
      </x:c>
    </x:row>
    <x:row r="2" ht="64.80000305175781" hidden="0" customHeight="1">
      <x:c r="A2" s="160" t="str">
        <x:v>donkere_wolken_full_2026.pdf</x:v>
      </x:c>
      <x:c r="B2" s="161" t="str">
        <x:v>7d0570aa9a59a5ef2de5d783f201074b917fd443ae96ce3fb62d4d5502e1b3e5</x:v>
      </x:c>
      <x:c r="C2" s="161" t="n">
        <x:v>2223955</x:v>
      </x:c>
      <x:c r="D2" s="161" t="str">
        <x:v>https://www.tweedekamer.nl/downloads/document?id=2026D17119</x:v>
      </x:c>
      <x:c r="E2" s="162" t="str">
        <x:v>Preserved source used in the audited evidence build.</x:v>
      </x:c>
    </x:row>
    <x:row r="3" ht="75.5999984741211" hidden="0" customHeight="1">
      <x:c r="A3" s="163" t="str">
        <x:v>donkere_wolken_summary_2026.pdf</x:v>
      </x:c>
      <x:c r="B3" s="164" t="str">
        <x:v>e3099676143e6a4f8a5e0f25088ac1683d04c987eccc2654b45137b265877940</x:v>
      </x:c>
      <x:c r="C3" s="164" t="n">
        <x:v>1240287</x:v>
      </x:c>
      <x:c r="D3" s="164" t="str">
        <x:v>https://open.overheid.nl/documenten/4623e58c-c186-4c00-86b6-8675b2446557/file</x:v>
      </x:c>
      <x:c r="E3" s="165" t="str">
        <x:v>Preserved source used in the audited evidence build.</x:v>
      </x:c>
    </x:row>
    <x:row r="4" ht="108" hidden="0" customHeight="1">
      <x:c r="A4" s="163" t="str">
        <x:v>vws_minister_letter_2026.html</x:v>
      </x:c>
      <x:c r="B4" s="164" t="str">
        <x:v>e1c6782dc98c13224f7b1bc59b4de7f6eb2705c578f1d713c17d24f665493e57</x:v>
      </x:c>
      <x:c r="C4" s="164" t="n">
        <x:v>243560</x:v>
      </x:c>
      <x:c r="D4" s="164" t="str">
        <x:v>https://www.rijksoverheid.nl/documenten/kamerstukken/2026/04/10/kamerbrief-inzake-onderzoek-naar-de-illegale-handel-in-vapes</x:v>
      </x:c>
      <x:c r="E4" s="165" t="str">
        <x:v>Preserved source used in the audited evidence build.</x:v>
      </x:c>
    </x:row>
    <x:row r="5" ht="356.3999938964844" hidden="0" customHeight="1">
      <x:c r="A5" s="163" t="str">
        <x:v>eurostat_netherlands_cn8_route_2025.json</x:v>
      </x:c>
      <x:c r="B5" s="164" t="str">
        <x:v>d9982e28da5079b293843adc1d872d1f9a6aa2a5cc7e60c71fa18d1ad8152bf4</x:v>
      </x:c>
      <x:c r="C5" s="164" t="n">
        <x:v>3154</x:v>
      </x:c>
      <x:c r="D5" s="164" t="str">
        <x:v>https://ec.europa.eu/eurostat/api/comext/dissemination/statistics/1.0/data/DS-045409?freq=A&amp;reporter=NL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v>
      </x:c>
      <x:c r="E5" s="165" t="str">
        <x:v>Border trade; not Dutch consumer sales.</x:v>
      </x:c>
    </x:row>
    <x:row r="6" ht="226.8000030517578" hidden="0" customHeight="1">
      <x:c r="A6" s="163" t="str">
        <x:v>eurostat_netherlands_cn8_partners_2025.json</x:v>
      </x:c>
      <x:c r="B6" s="164" t="str">
        <x:v>992f73b51db62002b4eb240acce12871497953cdd76d84d19ff7aba1d0e0d306</x:v>
      </x:c>
      <x:c r="C6" s="164" t="n">
        <x:v>16751</x:v>
      </x:c>
      <x:c r="D6" s="164" t="str">
        <x:v>https://ec.europa.eu/eurostat/api/comext/dissemination/statistics/1.0/data/DS-045409?freq=A&amp;reporter=NL&amp;product=85434000&amp;product=24041200&amp;product=24041910&amp;product=24041990&amp;flow=1&amp;flow=2&amp;indicators=VALUE_IN_EUROS&amp;time=2025&amp;lang=en</x:v>
      </x:c>
      <x:c r="E6" s="165" t="str">
        <x:v>Partner roles depend on intra/extra-EU convention.</x:v>
      </x:c>
    </x:row>
    <x:row r="7" ht="97.19999694824219" hidden="0" customHeight="1">
      <x:c r="A7" s="163" t="str">
        <x:v>trimbos_scholierenmonitor_2023.html</x:v>
      </x:c>
      <x:c r="B7" s="164" t="str">
        <x:v>cefd7ad4bbade6e9070b77817dd7195305ed2b494c45194905945687aa85d2ed</x:v>
      </x:c>
      <x:c r="C7" s="164" t="n">
        <x:v>248681</x:v>
      </x:c>
      <x:c r="D7" s="164" t="str">
        <x:v>https://cijfers.trimbos.nl/scholierenmonitor/vape-snus-en-waterpijp/cijfers-2023-12-16-jaar-vape-snus-waterpijp/</x:v>
      </x:c>
      <x:c r="E7" s="165" t="str">
        <x:v>Ever-use differs from monthly purchasing.</x:v>
      </x:c>
    </x:row>
    <x:row r="8" ht="64.80000305175781" hidden="0" customHeight="1">
      <x:c r="A8" s="163" t="str">
        <x:v>trimbos_scholierenmonitor_ever_vaped_table_2023.js</x:v>
      </x:c>
      <x:c r="B8" s="164" t="str">
        <x:v>363b96160074bbf2b79c61bfe33255df681fa27c0986531a4e2a00a1884c7f7f</x:v>
      </x:c>
      <x:c r="C8" s="164" t="n">
        <x:v>5388</x:v>
      </x:c>
      <x:c r="D8" s="164" t="str">
        <x:v>https://app.everviz.com/inject/VhUgu4jQb/?v=6</x:v>
      </x:c>
      <x:c r="E8" s="165" t="str">
        <x:v>Point 24.6%; 95% CI 22.8-26.4%.</x:v>
      </x:c>
    </x:row>
    <x:row r="9" ht="162" hidden="0" customHeight="1">
      <x:c r="A9" s="163" t="str">
        <x:v>cbs_lifestyle_table_info.json</x:v>
      </x:c>
      <x:c r="B9" s="164" t="str">
        <x:v>a997e69b3593f6137ca6b48009e227f6c120333b241c3a1979486f59782971b1</x:v>
      </x:c>
      <x:c r="C9" s="164" t="n">
        <x:v>11640</x:v>
      </x:c>
      <x:c r="D9" s="164" t="str">
        <x:v>https://opendata.cbs.nl/ODataApi/OData/85457NED/TypedDataSet?$filter=Perioden%20eq%20%272024JJ00%27&amp;$select=Persoonskenmerken,Perioden,Marges,ESigaret12JaarOfOuder_14</x:v>
      </x:c>
      <x:c r="E9" s="165" t="str">
        <x:v>Official prevalence, not sales.</x:v>
      </x:c>
    </x:row>
    <x:row r="10" ht="162" hidden="0" customHeight="1">
      <x:c r="A10" s="163" t="str">
        <x:v>cbs_lifestyle_data_properties.json</x:v>
      </x:c>
      <x:c r="B10" s="164" t="str">
        <x:v>643a112846c1d2a8f1195ed7d38844d7ba138439a32591de9830d829d9561e73</x:v>
      </x:c>
      <x:c r="C10" s="164" t="n">
        <x:v>71868</x:v>
      </x:c>
      <x:c r="D10" s="164" t="str">
        <x:v>https://opendata.cbs.nl/ODataApi/OData/85457NED/TypedDataSet?$filter=Perioden%20eq%20%272024JJ00%27&amp;$select=Persoonskenmerken,Perioden,Marges,ESigaret12JaarOfOuder_14</x:v>
      </x:c>
      <x:c r="E10" s="165" t="str">
        <x:v>Official prevalence, not sales.</x:v>
      </x:c>
    </x:row>
    <x:row r="11" ht="162" hidden="0" customHeight="1">
      <x:c r="A11" s="163" t="str">
        <x:v>cbs_lifestyle_person_categories.json</x:v>
      </x:c>
      <x:c r="B11" s="164" t="str">
        <x:v>f9cdffc7355bb1a7fe97dbfe47c94d1c2e7923561b0d002d17a6b9d406286879</x:v>
      </x:c>
      <x:c r="C11" s="164" t="n">
        <x:v>24062</x:v>
      </x:c>
      <x:c r="D11" s="164" t="str">
        <x:v>https://opendata.cbs.nl/ODataApi/OData/85457NED/TypedDataSet?$filter=Perioden%20eq%20%272024JJ00%27&amp;$select=Persoonskenmerken,Perioden,Marges,ESigaret12JaarOfOuder_14</x:v>
      </x:c>
      <x:c r="E11" s="165" t="str">
        <x:v>Official prevalence, not sales.</x:v>
      </x:c>
    </x:row>
    <x:row r="12" ht="162" hidden="0" customHeight="1">
      <x:c r="A12" s="163" t="str">
        <x:v>cbs_lifestyle_period_categories.json</x:v>
      </x:c>
      <x:c r="B12" s="164" t="str">
        <x:v>c5fe7b67319349dcd91d1dcfc82423d6accb8baf6c4bb580352b1ee214b2edfd</x:v>
      </x:c>
      <x:c r="C12" s="164" t="n">
        <x:v>1196</x:v>
      </x:c>
      <x:c r="D12" s="164" t="str">
        <x:v>https://opendata.cbs.nl/ODataApi/OData/85457NED/TypedDataSet?$filter=Perioden%20eq%20%272024JJ00%27&amp;$select=Persoonskenmerken,Perioden,Marges,ESigaret12JaarOfOuder_14</x:v>
      </x:c>
      <x:c r="E12" s="165" t="str">
        <x:v>Official prevalence, not sales.</x:v>
      </x:c>
    </x:row>
    <x:row r="13" ht="162" hidden="0" customHeight="1">
      <x:c r="A13" s="163" t="str">
        <x:v>cbs_lifestyle_margin_categories.json</x:v>
      </x:c>
      <x:c r="B13" s="164" t="str">
        <x:v>2f9f54f84cc65ed21a35a84e64402d6fc7c49632be932dac442e984475e416ff</x:v>
      </x:c>
      <x:c r="C13" s="164" t="n">
        <x:v>850</x:v>
      </x:c>
      <x:c r="D13" s="164" t="str">
        <x:v>https://opendata.cbs.nl/ODataApi/OData/85457NED/TypedDataSet?$filter=Perioden%20eq%20%272024JJ00%27&amp;$select=Persoonskenmerken,Perioden,Marges,ESigaret12JaarOfOuder_14</x:v>
      </x:c>
      <x:c r="E13" s="165" t="str">
        <x:v>Official prevalence, not sales.</x:v>
      </x:c>
    </x:row>
    <x:row r="14" ht="162" hidden="0" customHeight="1">
      <x:c r="A14" s="166" t="str">
        <x:v>cbs_lifestyle_esigarette_2024.json</x:v>
      </x:c>
      <x:c r="B14" s="167" t="str">
        <x:v>7330516ad765f2207a1f2996a8078e28298fae05ce4080c75e0cb83af97f5fad</x:v>
      </x:c>
      <x:c r="C14" s="167" t="n">
        <x:v>24300</x:v>
      </x:c>
      <x:c r="D14" s="167" t="str">
        <x:v>https://opendata.cbs.nl/ODataApi/OData/85457NED/TypedDataSet?$filter=Perioden%20eq%20%272024JJ00%27&amp;$select=Persoonskenmerken,Perioden,Marges,ESigaret12JaarOfOuder_14</x:v>
      </x:c>
      <x:c r="E14" s="168" t="str">
        <x:v>Official prevalence, not sales.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48" hidden="0" customWidth="1"/>
    <x:col min="4" max="4" width="48" hidden="0" customWidth="1"/>
    <x:col min="5" max="5" width="28" hidden="0" customWidth="1"/>
  </x:cols>
  <x:sheetData>
    <x:row r="1" ht="26.399999618530273" hidden="0" customHeight="1">
      <x:c r="A1" s="138" t="str">
        <x:v>Priority</x:v>
      </x:c>
      <x:c r="B1" s="139" t="str">
        <x:v>Missing aggregate</x:v>
      </x:c>
      <x:c r="C1" s="139" t="str">
        <x:v>Why it matters</x:v>
      </x:c>
      <x:c r="D1" s="139" t="str">
        <x:v>Acquisition route</x:v>
      </x:c>
      <x:c r="E1" s="140" t="str">
        <x:v>Status</x:v>
      </x:c>
    </x:row>
    <x:row r="2" ht="64.80000305175781" hidden="0" customHeight="1">
      <x:c r="A2" s="160" t="str">
        <x:v>P1</x:v>
      </x:c>
      <x:c r="B2" s="161" t="str">
        <x:v>Age-specific market-calculation cells</x:v>
      </x:c>
      <x:c r="C2" s="161" t="str">
        <x:v>Required to reproduce EUR 281.548m and source sensitivity</x:v>
      </x:c>
      <x:c r="D2" s="161" t="str">
        <x:v>PX-NL-001 to VWS</x:v>
      </x:c>
      <x:c r="E2" s="162" t="str">
        <x:v>READY FOR CONFIRMATION</x:v>
      </x:c>
    </x:row>
    <x:row r="3" ht="97.19999694824219" hidden="0" customHeight="1">
      <x:c r="A3" s="163" t="str">
        <x:v>P1</x:v>
      </x:c>
      <x:c r="B3" s="164" t="str">
        <x:v>Clarification: 22.8% versus 24.6%</x:v>
      </x:c>
      <x:c r="C3" s="164" t="str">
        <x:v>Determines whether youth prevalence is lower-CI conservatism or transcription error</x:v>
      </x:c>
      <x:c r="D3" s="164" t="str">
        <x:v>PX-NL-001 to VWS</x:v>
      </x:c>
      <x:c r="E3" s="165" t="str">
        <x:v>READY FOR CONFIRMATION</x:v>
      </x:c>
    </x:row>
    <x:row r="4" ht="54" hidden="0" customHeight="1">
      <x:c r="A4" s="163" t="str">
        <x:v>P1</x:v>
      </x:c>
      <x:c r="B4" s="164" t="str">
        <x:v>SPSS syntax and aggregate output</x:v>
      </x:c>
      <x:c r="C4" s="164" t="str">
        <x:v>Required for independent formula and rounding audit</x:v>
      </x:c>
      <x:c r="D4" s="164" t="str">
        <x:v>PX-NL-001 to VWS</x:v>
      </x:c>
      <x:c r="E4" s="165" t="str">
        <x:v>READY FOR CONFIRMATION</x:v>
      </x:c>
    </x:row>
    <x:row r="5" ht="54" hidden="0" customHeight="1">
      <x:c r="A5" s="163" t="str">
        <x:v>P1</x:v>
      </x:c>
      <x:c r="B5" s="164" t="str">
        <x:v>2021-2025 Article 20(7) units / ml / value</x:v>
      </x:c>
      <x:c r="C5" s="164" t="str">
        <x:v>Closer to legal market sell-out than customs values</x:v>
      </x:c>
      <x:c r="D5" s="164" t="str">
        <x:v>PX-NL-001 to VWS / RIVM</x:v>
      </x:c>
      <x:c r="E5" s="165" t="str">
        <x:v>READY FOR CONFIRMATION</x:v>
      </x:c>
    </x:row>
    <x:row r="6" ht="54" hidden="0" customHeight="1">
      <x:c r="A6" s="163" t="str">
        <x:v>P1</x:v>
      </x:c>
      <x:c r="B6" s="164" t="str">
        <x:v>Survey response disposition and design effect</x:v>
      </x:c>
      <x:c r="C6" s="164" t="str">
        <x:v>Required for response rate and estimate uncertainty</x:v>
      </x:c>
      <x:c r="D6" s="164" t="str">
        <x:v>PX-NL-001 to VWS</x:v>
      </x:c>
      <x:c r="E6" s="165" t="str">
        <x:v>READY FOR CONFIRMATION</x:v>
      </x:c>
    </x:row>
    <x:row r="7" ht="64.80000305175781" hidden="0" customHeight="1">
      <x:c r="A7" s="163" t="str">
        <x:v>P2</x:v>
      </x:c>
      <x:c r="B7" s="164" t="str">
        <x:v>Transit and customs-warehouse split</x:v>
      </x:c>
      <x:c r="C7" s="164" t="str">
        <x:v>Separates Rotterdam hub traffic from domestic release</x:v>
      </x:c>
      <x:c r="D7" s="164" t="str">
        <x:v>Dutch Customs / CBS request</x:v>
      </x:c>
      <x:c r="E7" s="165" t="str">
        <x:v>NOT OBTAINED</x:v>
      </x:c>
    </x:row>
    <x:row r="8" ht="43.20000076293945" hidden="0" customHeight="1">
      <x:c r="A8" s="163" t="str">
        <x:v>P2</x:v>
      </x:c>
      <x:c r="B8" s="164" t="str">
        <x:v>Legal retail sell-out by product type</x:v>
      </x:c>
      <x:c r="C8" s="164" t="str">
        <x:v>Validates the report's EUR 24.683m residual</x:v>
      </x:c>
      <x:c r="D8" s="164" t="str">
        <x:v>Official aggregate or licensed retail panel</x:v>
      </x:c>
      <x:c r="E8" s="165" t="str">
        <x:v>NOT OBTAINED</x:v>
      </x:c>
    </x:row>
    <x:row r="9" ht="54" hidden="0" customHeight="1">
      <x:c r="A9" s="166" t="str">
        <x:v>P2</x:v>
      </x:c>
      <x:c r="B9" s="167" t="str">
        <x:v>Interview metadata correction</x:v>
      </x:c>
      <x:c r="C9" s="167" t="str">
        <x:v>Resolves four/two dealers and age 28/29 conflict</x:v>
      </x:c>
      <x:c r="D9" s="167" t="str">
        <x:v>PX-NL-001 to VWS</x:v>
      </x:c>
      <x:c r="E9" s="168" t="str">
        <x:v>READY FOR CONFIRMATION</x:v>
      </x:c>
    </x:row>
  </x:sheetData>
  <x:pageMargins left="0.7" right="0.7" top="0.75" bottom="0.75" header="0.3" footer="0.3"/>
</x:worksheet>
</file>