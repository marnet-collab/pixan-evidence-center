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eb0a45936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1d7d0697304fbe"/>
    <x:sheet xmlns:r="http://schemas.openxmlformats.org/officeDocument/2006/relationships" name="Tax Rates" sheetId="2" r:id="R6aa696347fa142ef"/>
    <x:sheet xmlns:r="http://schemas.openxmlformats.org/officeDocument/2006/relationships" name="Volume Revenue" sheetId="3" r:id="R0d352b101ee14c18"/>
    <x:sheet xmlns:r="http://schemas.openxmlformats.org/officeDocument/2006/relationships" name="Tax Reconciliation" sheetId="4" r:id="Rfbc330d6a01a4692"/>
    <x:sheet xmlns:r="http://schemas.openxmlformats.org/officeDocument/2006/relationships" name="Price Inputs" sheetId="5" r:id="R430baab9eda7469f"/>
    <x:sheet xmlns:r="http://schemas.openxmlformats.org/officeDocument/2006/relationships" name="Price Stress" sheetId="6" r:id="R18325d71587949f1"/>
    <x:sheet xmlns:r="http://schemas.openxmlformats.org/officeDocument/2006/relationships" name="Customs Route" sheetId="7" r:id="R78f6dc13c695494a"/>
    <x:sheet xmlns:r="http://schemas.openxmlformats.org/officeDocument/2006/relationships" name="Route Partners" sheetId="8" r:id="Raf0689b968b745c3"/>
    <x:sheet xmlns:r="http://schemas.openxmlformats.org/officeDocument/2006/relationships" name="Method Audit" sheetId="9" r:id="R2b84b66596c14d39"/>
    <x:sheet xmlns:r="http://schemas.openxmlformats.org/officeDocument/2006/relationships" name="Sources" sheetId="10" r:id="Rfee7d16e837d4687"/>
    <x:sheet xmlns:r="http://schemas.openxmlformats.org/officeDocument/2006/relationships" name="Open Data Gaps" sheetId="11" r:id="R5ec6173882444b8f"/>
  </x:sheets>
</x:workbook>
</file>

<file path=xl/comments1.xml><?xml version="1.0" encoding="utf-8"?>
<x:comments xmlns:x="http://schemas.openxmlformats.org/spreadsheetml/2006/main">
  <x:authors>
    <x:author>tc={007FCA6B-32C1-5766-6EDC-2BFF5A687AA2}</x:author>
    <x:author>tc={38923BEE-0A95-EEA9-9571-08622BE935AB}</x:author>
    <x:author>tc={ACEC013F-C80C-1DF6-4C1D-D46C77BB8708}</x:author>
    <x:author>tc={AF1125D1-C596-F327-6478-5328D4B285C7}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https://www.regeringen.se/contentassets/1ed01e00001b42e5ad8d47433db63ece/berakningskonventioner_2026.pdf. Registered taxable consumption; not retail sell-out.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Formula: 14,000 litres × 4,040 SEK/litre + 12,000 litres × 2,020 SEK/litre.</x:t>
        </x:r>
      </x:text>
    </x:comment>
    <x:comment ref="B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https://cdn.who.int/media/docs/default-source/country-profiles/tobacco/gtrc-2025/tobacco-2025-swe.pdf. Cheapest-brand price sensitivity only.</x:t>
        </x:r>
      </x:text>
    </x:comment>
    <x:comment ref="B1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Border net is not Swedish consumer demand.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#,##0;[Red](#,##0);-"/>
    <x:numFmt numFmtId="201" formatCode="0.0%"/>
    <x:numFmt numFmtId="202" formatCode="€#,##0;[Red](€#,##0);-"/>
    <x:numFmt numFmtId="203" formatCode="0.000%"/>
    <x:numFmt numFmtId="204" formatCode="0.000"/>
    <x:numFmt numFmtId="205" formatCode="#,##0.00;[Red](#,##0.00);-"/>
    <x:numFmt numFmtId="206" formatCode="#,##0 &quot;SEK/l&quot;"/>
    <x:numFmt numFmtId="207" formatCode="0.000 &quot;SEK/ml&quot;"/>
    <x:numFmt numFmtId="208" formatCode="#,##0 &quot;l&quot;"/>
    <x:numFmt numFmtId="209" formatCode="#,##0 &quot;ml&quot;"/>
    <x:numFmt numFmtId="210" formatCode="#,##0 &quot;SEK&quot;"/>
    <x:numFmt numFmtId="211" formatCode="0.00 &quot;ml&quot;"/>
    <x:numFmt numFmtId="212" formatCode="0.00 &quot;SEK&quot;"/>
    <x:numFmt numFmtId="213" formatCode="0.00 &quot;SEK/ml&quot;"/>
    <x:numFmt numFmtId="214" formatCode="0.00%"/>
    <x:numFmt numFmtId="215" formatCode="0.00x"/>
    <x:numFmt numFmtId="216" formatCode="0.00 &quot;SEK/10ml&quot;"/>
    <x:numFmt numFmtId="217" formatCode="#,##0"/>
  </x:numFmts>
  <x:fonts count="15">
    <x:font>
      <x:sz val="11"/>
      <x:name val="Carlito"/>
    </x:font>
    <x:font>
      <x:b/>
      <x:sz val="20"/>
      <x:color rgb="FFFFFFFF"/>
      <x:name val="Arial"/>
    </x:font>
    <x:font>
      <x:i/>
      <x:sz val="11"/>
      <x:color rgb="FF10243E"/>
      <x:name val="Arial"/>
    </x:font>
    <x:font>
      <x:b/>
      <x:sz val="11"/>
      <x:color rgb="FFFFFFFF"/>
      <x:name val="Arial"/>
    </x:font>
    <x:font>
      <x:b/>
      <x:sz val="11"/>
      <x:color rgb="FF10243E"/>
      <x:name val="Carlito"/>
    </x:font>
    <x:font>
      <x:b/>
      <x:sz val="11"/>
      <x:color rgb="FF000000"/>
      <x:name val="Carlito"/>
    </x:font>
    <x:font>
      <x:sz val="11"/>
      <x:color rgb="FF667085"/>
      <x:name val="Carlito"/>
    </x:font>
    <x:font>
      <x:b/>
      <x:sz val="11"/>
      <x:color rgb="FFC89425"/>
      <x:name val="Carlito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10243E"/>
      <x:name val="Arial"/>
    </x:font>
    <x:font>
      <x:b/>
      <x:sz val="11"/>
      <x:color rgb="FF000000"/>
      <x:name val="Arial"/>
    </x:font>
    <x:font>
      <x:sz val="11"/>
      <x:color rgb="FF667085"/>
      <x:name val="Arial"/>
    </x:font>
    <x:font>
      <x:b/>
      <x:sz val="11"/>
      <x:color rgb="FFC89425"/>
      <x:name val="Arial"/>
    </x:font>
    <x:font>
      <x:sz val="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1FB"/>
      </x:patternFill>
    </x:fill>
    <x:fill>
      <x:patternFill patternType="solid">
        <x:fgColor rgb="FF2457A7"/>
      </x:patternFill>
    </x:fill>
    <x:fill>
      <x:patternFill patternType="solid">
        <x:fgColor rgb="FFFFF5D8"/>
      </x:patternFill>
    </x:fill>
    <x:fill>
      <x:patternFill patternType="solid">
        <x:fgColor rgb="FFC89425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C89425"/>
      </x:left>
      <x:top style="medium">
        <x:color rgb="FFC89425"/>
      </x:top>
      <x:bottom style="medium">
        <x:color rgb="FFC89425"/>
      </x:bottom>
    </x:border>
    <x:border>
      <x:right style="medium">
        <x:color rgb="FFC89425"/>
      </x:right>
      <x:top style="medium">
        <x:color rgb="FFC89425"/>
      </x:top>
      <x:bottom style="medium">
        <x:color rgb="FFC89425"/>
      </x:bottom>
    </x:border>
    <x:border>
      <x:right style="thin">
        <x:color rgb="FF36506D"/>
      </x:right>
    </x:border>
    <x:border>
      <x:left style="thin">
        <x:color rgb="FF36506D"/>
      </x:left>
      <x:right style="thin">
        <x:color rgb="FF36506D"/>
      </x:right>
    </x:border>
    <x:border>
      <x:left style="thin">
        <x:color rgb="FF36506D"/>
      </x:left>
    </x:border>
  </x:borders>
  <x:cellStyleXfs count="1">
    <x:xf numFmtId="0" fontId="0" fillId="0" borderId="0"/>
  </x:cellStyleXfs>
  <x:cellXfs count="2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7" xfId="0" applyNumberFormat="1" applyFont="1" applyFill="1" applyBorder="1"/>
    <x:xf numFmtId="204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4" fontId="5" fillId="0" borderId="8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8" fillId="2" borderId="0" xfId="0" applyNumberFormat="1" applyFont="1" applyFill="1" applyBorder="1"/>
    <x:xf numFmtId="205" fontId="0" fillId="0" borderId="0" xfId="0" applyNumberFormat="1" applyFont="1" applyFill="1" applyBorder="1"/>
    <x:xf numFmtId="205" fontId="0" fillId="0" borderId="2" xfId="0" applyNumberFormat="1" applyFont="1" applyFill="1" applyBorder="1"/>
    <x:xf numFmtId="205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8" xfId="0" applyNumberFormat="1" applyFont="1" applyFill="1" applyBorder="1"/>
    <x:xf numFmtId="0" fontId="7" fillId="5" borderId="8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201" fontId="11" fillId="0" borderId="5" xfId="0" applyNumberFormat="1" applyFont="1" applyFill="1" applyBorder="1" applyAlignment="1">
      <x:alignment vertical="center"/>
    </x:xf>
    <x:xf numFmtId="202" fontId="11" fillId="0" borderId="5" xfId="0" applyNumberFormat="1" applyFont="1" applyFill="1" applyBorder="1" applyAlignment="1">
      <x:alignment vertical="center"/>
    </x:xf>
    <x:xf numFmtId="203" fontId="11" fillId="0" borderId="5" xfId="0" applyNumberFormat="1" applyFont="1" applyFill="1" applyBorder="1" applyAlignment="1">
      <x:alignment vertical="center"/>
    </x:xf>
    <x:xf numFmtId="204" fontId="11" fillId="0" borderId="5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204" fontId="11" fillId="0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13" fillId="5" borderId="10" xfId="0" applyNumberFormat="1" applyFont="1" applyFill="1" applyBorder="1"/>
    <x:xf numFmtId="0" fontId="13" fillId="5" borderId="11" xfId="0" applyNumberFormat="1" applyFont="1" applyFill="1" applyBorder="1"/>
    <x:xf numFmtId="0" fontId="3" fillId="2" borderId="0" xfId="0" applyNumberFormat="1" applyFont="1" applyFill="1" applyBorder="1"/>
    <x:xf numFmtId="0" fontId="9" fillId="0" borderId="1" xfId="0" applyNumberFormat="1" applyFont="1" applyFill="1" applyBorder="1"/>
    <x:xf numFmtId="205" fontId="9" fillId="0" borderId="2" xfId="0" applyNumberFormat="1" applyFont="1" applyFill="1" applyBorder="1"/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/>
    <x:xf numFmtId="205" fontId="9" fillId="0" borderId="5" xfId="0" applyNumberFormat="1" applyFont="1" applyFill="1" applyBorder="1"/>
    <x:xf numFmtId="0" fontId="9" fillId="0" borderId="5" xfId="0" applyNumberFormat="1" applyFont="1" applyFill="1" applyBorder="1"/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13" fillId="5" borderId="8" xfId="0" applyNumberFormat="1" applyFont="1" applyFill="1" applyBorder="1"/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3" fillId="5" borderId="10" xfId="0" applyNumberFormat="1" applyFont="1" applyFill="1" applyBorder="1" applyAlignment="1">
      <x:alignment vertical="center"/>
    </x:xf>
    <x:xf numFmtId="0" fontId="13" fillId="5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205" fontId="9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/>
    </x:xf>
    <x:xf numFmtId="205" fontId="9" fillId="0" borderId="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/>
    </x:xf>
    <x:xf numFmtId="0" fontId="13" fillId="5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vertical="center" wrapText="1"/>
    </x:xf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" xfId="0" applyNumberFormat="1" applyFont="1" applyFill="1" applyBorder="1" applyAlignment="1">
      <x:alignment vertical="top"/>
    </x:xf>
    <x:xf numFmtId="0" fontId="14" fillId="0" borderId="2" xfId="0" applyNumberFormat="1" applyFont="1" applyFill="1" applyBorder="1" applyAlignment="1">
      <x:alignment vertical="top"/>
    </x:xf>
    <x:xf numFmtId="0" fontId="14" fillId="0" borderId="3" xfId="0" applyNumberFormat="1" applyFont="1" applyFill="1" applyBorder="1" applyAlignment="1">
      <x:alignment vertical="top"/>
    </x:xf>
    <x:xf numFmtId="0" fontId="14" fillId="0" borderId="4" xfId="0" applyNumberFormat="1" applyFont="1" applyFill="1" applyBorder="1" applyAlignment="1">
      <x:alignment vertical="top"/>
    </x:xf>
    <x:xf numFmtId="0" fontId="14" fillId="0" borderId="5" xfId="0" applyNumberFormat="1" applyFont="1" applyFill="1" applyBorder="1" applyAlignment="1">
      <x:alignment vertical="top"/>
    </x:xf>
    <x:xf numFmtId="0" fontId="14" fillId="0" borderId="6" xfId="0" applyNumberFormat="1" applyFont="1" applyFill="1" applyBorder="1" applyAlignment="1">
      <x:alignment vertical="top"/>
    </x:xf>
    <x:xf numFmtId="0" fontId="14" fillId="0" borderId="7" xfId="0" applyNumberFormat="1" applyFont="1" applyFill="1" applyBorder="1" applyAlignment="1">
      <x:alignment vertical="top"/>
    </x:xf>
    <x:xf numFmtId="0" fontId="14" fillId="0" borderId="8" xfId="0" applyNumberFormat="1" applyFont="1" applyFill="1" applyBorder="1" applyAlignment="1">
      <x:alignment vertical="top"/>
    </x:xf>
    <x:xf numFmtId="0" fontId="14" fillId="0" borderId="9" xfId="0" applyNumberFormat="1" applyFont="1" applyFill="1" applyBorder="1" applyAlignment="1">
      <x:alignment vertical="top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206" fontId="14" fillId="0" borderId="2" xfId="0" applyNumberFormat="1" applyFont="1" applyFill="1" applyBorder="1" applyAlignment="1">
      <x:alignment vertical="top" wrapText="1"/>
    </x:xf>
    <x:xf numFmtId="206" fontId="14" fillId="0" borderId="5" xfId="0" applyNumberFormat="1" applyFont="1" applyFill="1" applyBorder="1" applyAlignment="1">
      <x:alignment vertical="top" wrapText="1"/>
    </x:xf>
    <x:xf numFmtId="206" fontId="14" fillId="0" borderId="8" xfId="0" applyNumberFormat="1" applyFont="1" applyFill="1" applyBorder="1" applyAlignment="1">
      <x:alignment vertical="top" wrapText="1"/>
    </x:xf>
    <x:xf numFmtId="207" fontId="14" fillId="0" borderId="2" xfId="0" applyNumberFormat="1" applyFont="1" applyFill="1" applyBorder="1" applyAlignment="1">
      <x:alignment vertical="top" wrapText="1"/>
    </x:xf>
    <x:xf numFmtId="207" fontId="14" fillId="0" borderId="5" xfId="0" applyNumberFormat="1" applyFont="1" applyFill="1" applyBorder="1" applyAlignment="1">
      <x:alignment vertical="top" wrapText="1"/>
    </x:xf>
    <x:xf numFmtId="207" fontId="14" fillId="0" borderId="8" xfId="0" applyNumberFormat="1" applyFont="1" applyFill="1" applyBorder="1" applyAlignment="1">
      <x:alignment vertical="top" wrapText="1"/>
    </x:xf>
    <x:xf numFmtId="208" fontId="14" fillId="0" borderId="2" xfId="0" applyNumberFormat="1" applyFont="1" applyFill="1" applyBorder="1" applyAlignment="1">
      <x:alignment vertical="top" wrapText="1"/>
    </x:xf>
    <x:xf numFmtId="208" fontId="14" fillId="0" borderId="5" xfId="0" applyNumberFormat="1" applyFont="1" applyFill="1" applyBorder="1" applyAlignment="1">
      <x:alignment vertical="top" wrapText="1"/>
    </x:xf>
    <x:xf numFmtId="208" fontId="14" fillId="0" borderId="8" xfId="0" applyNumberFormat="1" applyFont="1" applyFill="1" applyBorder="1" applyAlignment="1">
      <x:alignment vertical="top" wrapText="1"/>
    </x:xf>
    <x:xf numFmtId="209" fontId="14" fillId="0" borderId="2" xfId="0" applyNumberFormat="1" applyFont="1" applyFill="1" applyBorder="1" applyAlignment="1">
      <x:alignment vertical="top" wrapText="1"/>
    </x:xf>
    <x:xf numFmtId="209" fontId="14" fillId="0" borderId="5" xfId="0" applyNumberFormat="1" applyFont="1" applyFill="1" applyBorder="1" applyAlignment="1">
      <x:alignment vertical="top" wrapText="1"/>
    </x:xf>
    <x:xf numFmtId="209" fontId="14" fillId="0" borderId="8" xfId="0" applyNumberFormat="1" applyFont="1" applyFill="1" applyBorder="1" applyAlignment="1">
      <x:alignment vertical="top" wrapText="1"/>
    </x:xf>
    <x:xf numFmtId="210" fontId="14" fillId="0" borderId="2" xfId="0" applyNumberFormat="1" applyFont="1" applyFill="1" applyBorder="1" applyAlignment="1">
      <x:alignment vertical="top" wrapText="1"/>
    </x:xf>
    <x:xf numFmtId="210" fontId="14" fillId="0" borderId="5" xfId="0" applyNumberFormat="1" applyFont="1" applyFill="1" applyBorder="1" applyAlignment="1">
      <x:alignment vertical="top" wrapText="1"/>
    </x:xf>
    <x:xf numFmtId="210" fontId="14" fillId="0" borderId="8" xfId="0" applyNumberFormat="1" applyFont="1" applyFill="1" applyBorder="1" applyAlignment="1">
      <x:alignment vertical="top" wrapText="1"/>
    </x:xf>
    <x:xf numFmtId="205" fontId="14" fillId="0" borderId="2" xfId="0" applyNumberFormat="1" applyFont="1" applyFill="1" applyBorder="1" applyAlignment="1">
      <x:alignment vertical="top" wrapText="1"/>
    </x:xf>
    <x:xf numFmtId="205" fontId="14" fillId="0" borderId="5" xfId="0" applyNumberFormat="1" applyFont="1" applyFill="1" applyBorder="1" applyAlignment="1">
      <x:alignment vertical="top" wrapText="1"/>
    </x:xf>
    <x:xf numFmtId="205" fontId="14" fillId="0" borderId="8" xfId="0" applyNumberFormat="1" applyFont="1" applyFill="1" applyBorder="1" applyAlignment="1">
      <x:alignment vertical="top" wrapText="1"/>
    </x:xf>
    <x:xf numFmtId="201" fontId="14" fillId="0" borderId="2" xfId="0" applyNumberFormat="1" applyFont="1" applyFill="1" applyBorder="1" applyAlignment="1">
      <x:alignment vertical="top" wrapText="1"/>
    </x:xf>
    <x:xf numFmtId="201" fontId="14" fillId="0" borderId="5" xfId="0" applyNumberFormat="1" applyFont="1" applyFill="1" applyBorder="1" applyAlignment="1">
      <x:alignment vertical="top" wrapText="1"/>
    </x:xf>
    <x:xf numFmtId="201" fontId="14" fillId="0" borderId="8" xfId="0" applyNumberFormat="1" applyFont="1" applyFill="1" applyBorder="1" applyAlignment="1">
      <x:alignment vertical="top" wrapText="1"/>
    </x:xf>
    <x:xf numFmtId="211" fontId="14" fillId="0" borderId="2" xfId="0" applyNumberFormat="1" applyFont="1" applyFill="1" applyBorder="1" applyAlignment="1">
      <x:alignment vertical="top" wrapText="1"/>
    </x:xf>
    <x:xf numFmtId="211" fontId="14" fillId="0" borderId="5" xfId="0" applyNumberFormat="1" applyFont="1" applyFill="1" applyBorder="1" applyAlignment="1">
      <x:alignment vertical="top" wrapText="1"/>
    </x:xf>
    <x:xf numFmtId="211" fontId="14" fillId="0" borderId="8" xfId="0" applyNumberFormat="1" applyFont="1" applyFill="1" applyBorder="1" applyAlignment="1">
      <x:alignment vertical="top" wrapText="1"/>
    </x:xf>
    <x:xf numFmtId="212" fontId="14" fillId="0" borderId="2" xfId="0" applyNumberFormat="1" applyFont="1" applyFill="1" applyBorder="1" applyAlignment="1">
      <x:alignment vertical="top" wrapText="1"/>
    </x:xf>
    <x:xf numFmtId="212" fontId="14" fillId="0" borderId="5" xfId="0" applyNumberFormat="1" applyFont="1" applyFill="1" applyBorder="1" applyAlignment="1">
      <x:alignment vertical="top" wrapText="1"/>
    </x:xf>
    <x:xf numFmtId="212" fontId="14" fillId="0" borderId="8" xfId="0" applyNumberFormat="1" applyFont="1" applyFill="1" applyBorder="1" applyAlignment="1">
      <x:alignment vertical="top" wrapText="1"/>
    </x:xf>
    <x:xf numFmtId="213" fontId="14" fillId="0" borderId="2" xfId="0" applyNumberFormat="1" applyFont="1" applyFill="1" applyBorder="1" applyAlignment="1">
      <x:alignment vertical="top" wrapText="1"/>
    </x:xf>
    <x:xf numFmtId="213" fontId="14" fillId="0" borderId="5" xfId="0" applyNumberFormat="1" applyFont="1" applyFill="1" applyBorder="1" applyAlignment="1">
      <x:alignment vertical="top" wrapText="1"/>
    </x:xf>
    <x:xf numFmtId="213" fontId="14" fillId="0" borderId="8" xfId="0" applyNumberFormat="1" applyFont="1" applyFill="1" applyBorder="1" applyAlignment="1">
      <x:alignment vertical="top" wrapText="1"/>
    </x:xf>
    <x:xf numFmtId="214" fontId="14" fillId="0" borderId="2" xfId="0" applyNumberFormat="1" applyFont="1" applyFill="1" applyBorder="1" applyAlignment="1">
      <x:alignment vertical="top" wrapText="1"/>
    </x:xf>
    <x:xf numFmtId="214" fontId="14" fillId="0" borderId="5" xfId="0" applyNumberFormat="1" applyFont="1" applyFill="1" applyBorder="1" applyAlignment="1">
      <x:alignment vertical="top" wrapText="1"/>
    </x:xf>
    <x:xf numFmtId="214" fontId="14" fillId="0" borderId="8" xfId="0" applyNumberFormat="1" applyFont="1" applyFill="1" applyBorder="1" applyAlignment="1">
      <x:alignment vertical="top" wrapText="1"/>
    </x:xf>
    <x:xf numFmtId="215" fontId="14" fillId="0" borderId="2" xfId="0" applyNumberFormat="1" applyFont="1" applyFill="1" applyBorder="1" applyAlignment="1">
      <x:alignment vertical="top" wrapText="1"/>
    </x:xf>
    <x:xf numFmtId="215" fontId="14" fillId="0" borderId="5" xfId="0" applyNumberFormat="1" applyFont="1" applyFill="1" applyBorder="1" applyAlignment="1">
      <x:alignment vertical="top" wrapText="1"/>
    </x:xf>
    <x:xf numFmtId="215" fontId="14" fillId="0" borderId="8" xfId="0" applyNumberFormat="1" applyFont="1" applyFill="1" applyBorder="1" applyAlignment="1">
      <x:alignment vertical="top" wrapText="1"/>
    </x:xf>
    <x:xf numFmtId="216" fontId="14" fillId="0" borderId="2" xfId="0" applyNumberFormat="1" applyFont="1" applyFill="1" applyBorder="1" applyAlignment="1">
      <x:alignment vertical="top" wrapText="1"/>
    </x:xf>
    <x:xf numFmtId="216" fontId="14" fillId="0" borderId="5" xfId="0" applyNumberFormat="1" applyFont="1" applyFill="1" applyBorder="1" applyAlignment="1">
      <x:alignment vertical="top" wrapText="1"/>
    </x:xf>
    <x:xf numFmtId="216" fontId="14" fillId="0" borderId="8" xfId="0" applyNumberFormat="1" applyFont="1" applyFill="1" applyBorder="1" applyAlignment="1">
      <x:alignment vertical="top" wrapText="1"/>
    </x:xf>
    <x:xf numFmtId="217" fontId="14" fillId="0" borderId="2" xfId="0" applyNumberFormat="1" applyFont="1" applyFill="1" applyBorder="1" applyAlignment="1">
      <x:alignment vertical="top" wrapText="1"/>
    </x:xf>
    <x:xf numFmtId="217" fontId="14" fillId="0" borderId="5" xfId="0" applyNumberFormat="1" applyFont="1" applyFill="1" applyBorder="1" applyAlignment="1">
      <x:alignment vertical="top" wrapText="1"/>
    </x:xf>
    <x:xf numFmtId="217" fontId="14" fillId="0" borderId="8" xfId="0" applyNumberFormat="1" applyFont="1" applyFill="1" applyBorder="1" applyAlignment="1">
      <x:alignment vertical="top" wrapText="1"/>
    </x:xf>
    <x:xf numFmtId="202" fontId="14" fillId="0" borderId="2" xfId="0" applyNumberFormat="1" applyFont="1" applyFill="1" applyBorder="1" applyAlignment="1">
      <x:alignment vertical="top" wrapText="1"/>
    </x:xf>
    <x:xf numFmtId="202" fontId="14" fillId="0" borderId="5" xfId="0" applyNumberFormat="1" applyFont="1" applyFill="1" applyBorder="1" applyAlignment="1">
      <x:alignment vertical="top" wrapText="1"/>
    </x:xf>
    <x:xf numFmtId="202" fontId="14" fillId="0" borderId="8" xfId="0" applyNumberFormat="1" applyFont="1" applyFill="1" applyBorder="1" applyAlignment="1">
      <x:alignment vertical="top" wrapText="1"/>
    </x:xf>
    <x:xf numFmtId="203" fontId="14" fillId="0" borderId="2" xfId="0" applyNumberFormat="1" applyFont="1" applyFill="1" applyBorder="1" applyAlignment="1">
      <x:alignment vertical="top" wrapText="1"/>
    </x:xf>
    <x:xf numFmtId="203" fontId="14" fillId="0" borderId="5" xfId="0" applyNumberFormat="1" applyFont="1" applyFill="1" applyBorder="1" applyAlignment="1">
      <x:alignment vertical="top" wrapText="1"/>
    </x:xf>
    <x:xf numFmtId="203" fontId="1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F7A4D"/>
      </x:font>
      <x:fill>
        <x:patternFill patternType="solid">
          <x:bgColor rgb="FFE7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c76a6e7744537" /><Relationship Type="http://schemas.openxmlformats.org/officeDocument/2006/relationships/theme" Target="/xl/theme/theme1.xml" Id="R6203198a04a24f5b" /><Relationship Type="http://schemas.openxmlformats.org/officeDocument/2006/relationships/sharedStrings" Target="/xl/sharedStrings.xml" Id="R34cd462b37624b5c" /><Relationship Type="http://schemas.openxmlformats.org/officeDocument/2006/relationships/worksheet" Target="/xl/worksheets/sheet1.xml" Id="Rc11d7d0697304fbe" /><Relationship Type="http://schemas.openxmlformats.org/officeDocument/2006/relationships/worksheet" Target="/xl/worksheets/sheet2.xml" Id="R6aa696347fa142ef" /><Relationship Type="http://schemas.openxmlformats.org/officeDocument/2006/relationships/worksheet" Target="/xl/worksheets/sheet3.xml" Id="R0d352b101ee14c18" /><Relationship Type="http://schemas.openxmlformats.org/officeDocument/2006/relationships/worksheet" Target="/xl/worksheets/sheet4.xml" Id="Rfbc330d6a01a4692" /><Relationship Type="http://schemas.openxmlformats.org/officeDocument/2006/relationships/worksheet" Target="/xl/worksheets/sheet5.xml" Id="R430baab9eda7469f" /><Relationship Type="http://schemas.openxmlformats.org/officeDocument/2006/relationships/worksheet" Target="/xl/worksheets/sheet6.xml" Id="R18325d71587949f1" /><Relationship Type="http://schemas.openxmlformats.org/officeDocument/2006/relationships/worksheet" Target="/xl/worksheets/sheet7.xml" Id="R78f6dc13c695494a" /><Relationship Type="http://schemas.openxmlformats.org/officeDocument/2006/relationships/worksheet" Target="/xl/worksheets/sheet8.xml" Id="Raf0689b968b745c3" /><Relationship Type="http://schemas.openxmlformats.org/officeDocument/2006/relationships/worksheet" Target="/xl/worksheets/sheet9.xml" Id="R2b84b66596c14d39" /><Relationship Type="http://schemas.openxmlformats.org/officeDocument/2006/relationships/worksheet" Target="/xl/worksheets/sheet10.xml" Id="Rfee7d16e837d4687" /><Relationship Type="http://schemas.openxmlformats.org/officeDocument/2006/relationships/worksheet" Target="/xl/worksheets/sheet11.xml" Id="R5ec6173882444b8f" /><Relationship Type="http://schemas.microsoft.com/office/2017/10/relationships/person" Target="/xl/persons/person.xml" Id="Rba2be2760d7344ac" /></Relationships>
</file>

<file path=xl/persons/person.xml><?xml version="1.0" encoding="utf-8"?>
<xltc:personList xmlns:xltc="http://schemas.microsoft.com/office/spreadsheetml/2018/threadedcomments">
  <xltc:person displayName="Pixan evidence audit" id="{2A2CE45C-7B53-43C1-A1AD-EB0F4C4D8EA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17T13:48:38.241" personId="{2A2CE45C-7B53-43C1-A1AD-EB0F4C4D8EA7}" id="{007FCA6B-32C1-5766-6EDC-2BFF5A687AA2}">
    <xltc:text>Source: https://www.regeringen.se/contentassets/1ed01e00001b42e5ad8d47433db63ece/berakningskonventioner_2026.pdf. Registered taxable consumption; not retail sell-out.</xltc:text>
  </xltc:threadedComment>
  <xltc:threadedComment ref="B8" dT="2026-07-17T13:48:38.242" personId="{2A2CE45C-7B53-43C1-A1AD-EB0F4C4D8EA7}" id="{38923BEE-0A95-EEA9-9571-08622BE935AB}">
    <xltc:text>Formula: 14,000 litres × 4,040 SEK/litre + 12,000 litres × 2,020 SEK/litre.</xltc:text>
  </xltc:threadedComment>
  <xltc:threadedComment ref="B12" dT="2026-07-17T13:48:38.242" personId="{2A2CE45C-7B53-43C1-A1AD-EB0F4C4D8EA7}" id="{ACEC013F-C80C-1DF6-4C1D-D46C77BB8708}">
    <xltc:text>Source: https://cdn.who.int/media/docs/default-source/country-profiles/tobacco/gtrc-2025/tobacco-2025-swe.pdf. Cheapest-brand price sensitivity only.</xltc:text>
  </xltc:threadedComment>
  <xltc:threadedComment ref="B16" dT="2026-07-17T13:48:38.242" personId="{2A2CE45C-7B53-43C1-A1AD-EB0F4C4D8EA7}" id="{AF1125D1-C596-F327-6478-5328D4B285C7}">
    <xltc:text>Source: 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Border net is not Swedish consumer demand.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2296fc4d19048cd" /><Relationship Type="http://schemas.openxmlformats.org/officeDocument/2006/relationships/vmlDrawing" Target="/xl/drawings/vmldrawing.vml" Id="R202804f91e0945b1" /><Relationship Type="http://schemas.microsoft.com/office/2017/10/relationships/threadedComment" Target="/xl/threadedcomments/threadedcomment.xml" Id="R32bc47687a7944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</x:cols>
  <x:sheetData>
    <x:row r="1">
      <x:c r="A1" s="3" t="str">
        <x:v>Pixan | Sweden official evidence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129" t="str">
        <x:v>Official tax volume and revenue, price stress and Eurostat border-route audit | as of 2026-07-17</x:v>
      </x:c>
      <x:c r="B3" s="129"/>
      <x:c r="C3" s="129"/>
      <x:c r="D3" s="129"/>
      <x:c r="E3" s="129"/>
      <x:c r="F3" s="129"/>
      <x:c r="G3" s="129"/>
      <x:c r="H3" s="129"/>
    </x:row>
    <x:row r="4">
      <x:c r="A4" s="130"/>
      <x:c r="B4" s="130"/>
      <x:c r="C4" s="130"/>
      <x:c r="D4" s="130"/>
      <x:c r="E4" s="130"/>
      <x:c r="F4" s="130"/>
      <x:c r="G4" s="130"/>
      <x:c r="H4" s="130"/>
    </x:row>
    <x:row r="5">
      <x:c r="A5" s="131" t="str">
        <x:v>Key evidence</x:v>
      </x:c>
      <x:c r="B5" s="131" t="str">
        <x:v>Value</x:v>
      </x:c>
      <x:c r="C5" s="131" t="str">
        <x:v>Unit</x:v>
      </x:c>
      <x:c r="D5" s="131" t="str">
        <x:v>Interpretation</x:v>
      </x:c>
      <x:c r="E5" s="131"/>
      <x:c r="F5" s="131"/>
      <x:c r="G5" s="131"/>
      <x:c r="H5" s="131"/>
    </x:row>
    <x:row r="6" ht="38" customHeight="1">
      <x:c r="A6" s="89" t="str">
        <x:v>Official registered nicotine e-liquid volume, 2024</x:v>
      </x:c>
      <x:c r="B6" s="90" t="n">
        <x:f>SUM('Volume Revenue'!C2:C3)</x:f>
        <x:v>26000</x:v>
      </x:c>
      <x:c r="C6" s="91" t="str">
        <x:v>litres</x:v>
      </x:c>
      <x:c r="D6" s="92" t="str">
        <x:v>A-tier Ministry table 7.5; legal registered taxable consumption, not total sell-out.</x:v>
      </x:c>
      <x:c r="E6" s="92"/>
      <x:c r="F6" s="92"/>
      <x:c r="G6" s="92"/>
      <x:c r="H6" s="93"/>
    </x:row>
    <x:row r="7" ht="38" customHeight="1">
      <x:c r="A7" s="94" t="str">
        <x:v>Official displayed e-liquid tax revenue, 2024</x:v>
      </x:c>
      <x:c r="B7" s="95" t="n">
        <x:f>SUM('Volume Revenue'!E2:E3)</x:f>
        <x:v>80000000</x:v>
      </x:c>
      <x:c r="C7" s="96" t="str">
        <x:v>SEK</x:v>
      </x:c>
      <x:c r="D7" s="97" t="str">
        <x:v>A-tier, but displayed to SEK 0.01bn by strength group.</x:v>
      </x:c>
      <x:c r="E7" s="97"/>
      <x:c r="F7" s="97"/>
      <x:c r="G7" s="97"/>
      <x:c r="H7" s="98"/>
    </x:row>
    <x:row r="8" ht="38" customHeight="1">
      <x:c r="A8" s="94" t="str">
        <x:v>Mechanical tax from volume × exact rates</x:v>
      </x:c>
      <x:c r="B8" s="95" t="n">
        <x:f>'Tax Reconciliation'!D4</x:f>
        <x:v>80800000</x:v>
      </x:c>
      <x:c r="C8" s="96" t="str">
        <x:v>SEK</x:v>
      </x:c>
      <x:c r="D8" s="97" t="str">
        <x:v>14,000 × 4,040 plus 12,000 × 2,020 SEK/litre.</x:v>
      </x:c>
      <x:c r="E8" s="97"/>
      <x:c r="F8" s="97"/>
      <x:c r="G8" s="97"/>
      <x:c r="H8" s="98"/>
    </x:row>
    <x:row r="9" ht="38" customHeight="1">
      <x:c r="A9" s="94" t="str">
        <x:v>Reported minus mechanical tax</x:v>
      </x:c>
      <x:c r="B9" s="95" t="n">
        <x:f>'Tax Reconciliation'!F4</x:f>
        <x:v>-800000</x:v>
      </x:c>
      <x:c r="C9" s="96" t="str">
        <x:v>SEK</x:v>
      </x:c>
      <x:c r="D9" s="97" t="str">
        <x:v>Point gap caused by display rounding; not an unexplained missing market.</x:v>
      </x:c>
      <x:c r="E9" s="97"/>
      <x:c r="F9" s="97"/>
      <x:c r="G9" s="97"/>
      <x:c r="H9" s="98"/>
    </x:row>
    <x:row r="10" ht="38" customHeight="1">
      <x:c r="A10" s="94" t="str">
        <x:v>Reported-minus-mechanical gap</x:v>
      </x:c>
      <x:c r="B10" s="99" t="n">
        <x:f>'Tax Reconciliation'!G4</x:f>
        <x:v>-0.01</x:v>
      </x:c>
      <x:c r="C10" s="96" t="str">
        <x:v>%</x:v>
      </x:c>
      <x:c r="D10" s="97" t="str">
        <x:v>Total point estimate differs by 1.0%; component rounding intervals overlap.</x:v>
      </x:c>
      <x:c r="E10" s="97"/>
      <x:c r="F10" s="97"/>
      <x:c r="G10" s="97"/>
      <x:c r="H10" s="98"/>
    </x:row>
    <x:row r="11" ht="38" customHeight="1">
      <x:c r="A11" s="94" t="str">
        <x:v>Price stress - downside</x:v>
      </x:c>
      <x:c r="B11" s="95" t="n">
        <x:f>'Price Stress'!F2</x:f>
        <x:v>143520000</x:v>
      </x:c>
      <x:c r="C11" s="96" t="str">
        <x:v>SEK</x:v>
      </x:c>
      <x:c r="D11" s="97" t="str">
        <x:v>WHO 69 SEK/10ml anchor reduced 20%; sensitivity, not official market value.</x:v>
      </x:c>
      <x:c r="E11" s="97"/>
      <x:c r="F11" s="97"/>
      <x:c r="G11" s="97"/>
      <x:c r="H11" s="98"/>
    </x:row>
    <x:row r="12" ht="38" customHeight="1">
      <x:c r="A12" s="94" t="str">
        <x:v>Price stress - baseline</x:v>
      </x:c>
      <x:c r="B12" s="95" t="n">
        <x:f>'Price Stress'!F3</x:f>
        <x:v>179400000</x:v>
      </x:c>
      <x:c r="C12" s="96" t="str">
        <x:v>SEK</x:v>
      </x:c>
      <x:c r="D12" s="97" t="str">
        <x:v>WHO cheapest-brand open-system anchor applied to official taxed litres.</x:v>
      </x:c>
      <x:c r="E12" s="97"/>
      <x:c r="F12" s="97"/>
      <x:c r="G12" s="97"/>
      <x:c r="H12" s="98"/>
    </x:row>
    <x:row r="13" ht="38" customHeight="1">
      <x:c r="A13" s="94" t="str">
        <x:v>Price stress - upside</x:v>
      </x:c>
      <x:c r="B13" s="95" t="n">
        <x:f>'Price Stress'!F4</x:f>
        <x:v>215280000</x:v>
      </x:c>
      <x:c r="C13" s="96" t="str">
        <x:v>SEK</x:v>
      </x:c>
      <x:c r="D13" s="97" t="str">
        <x:v>WHO anchor increased 20%; excludes devices and unregistered/illegal flows.</x:v>
      </x:c>
      <x:c r="E13" s="97"/>
      <x:c r="F13" s="97"/>
      <x:c r="G13" s="97"/>
      <x:c r="H13" s="98"/>
    </x:row>
    <x:row r="14" ht="38" customHeight="1">
      <x:c r="A14" s="94" t="str">
        <x:v>2025 narrow WORLD imports</x:v>
      </x:c>
      <x:c r="B14" s="100" t="n">
        <x:f>'Customs Route'!E6</x:f>
        <x:v>50027654</x:v>
      </x:c>
      <x:c r="C14" s="96" t="str">
        <x:v>EUR</x:v>
      </x:c>
      <x:c r="D14" s="97" t="str">
        <x:v>CN 85434000 + 24041200 border value; not Swedish consumer sales.</x:v>
      </x:c>
      <x:c r="E14" s="97"/>
      <x:c r="F14" s="97"/>
      <x:c r="G14" s="97"/>
      <x:c r="H14" s="98"/>
    </x:row>
    <x:row r="15" ht="38" customHeight="1">
      <x:c r="A15" s="94" t="str">
        <x:v>2025 narrow WORLD exports</x:v>
      </x:c>
      <x:c r="B15" s="100" t="n">
        <x:f>'Customs Route'!F6</x:f>
        <x:v>1417000</x:v>
      </x:c>
      <x:c r="C15" s="96" t="str">
        <x:v>EUR</x:v>
      </x:c>
      <x:c r="D15" s="97" t="str">
        <x:v>Destination-side dispatch/export value.</x:v>
      </x:c>
      <x:c r="E15" s="97"/>
      <x:c r="F15" s="97"/>
      <x:c r="G15" s="97"/>
      <x:c r="H15" s="98"/>
    </x:row>
    <x:row r="16" ht="38" customHeight="1">
      <x:c r="A16" s="94" t="str">
        <x:v>2025 narrow border net</x:v>
      </x:c>
      <x:c r="B16" s="100" t="n">
        <x:f>'Customs Route'!G6</x:f>
        <x:v>48610654</x:v>
      </x:c>
      <x:c r="C16" s="96" t="str">
        <x:v>EUR</x:v>
      </x:c>
      <x:c r="D16" s="97" t="str">
        <x:v>Imports minus exports; still not domestic demand.</x:v>
      </x:c>
      <x:c r="E16" s="97"/>
      <x:c r="F16" s="97"/>
      <x:c r="G16" s="97"/>
      <x:c r="H16" s="98"/>
    </x:row>
    <x:row r="17" ht="38" customHeight="1">
      <x:c r="A17" s="94" t="str">
        <x:v>Narrow extra-EU import share</x:v>
      </x:c>
      <x:c r="B17" s="101" t="n">
        <x:f>'Customs Route'!J6</x:f>
        <x:v>0.75515802</x:v>
      </x:c>
      <x:c r="C17" s="96" t="str">
        <x:v>%</x:v>
      </x:c>
      <x:c r="D17" s="97" t="str">
        <x:v>Extra-EU partner is origin; intra-EU partner is consignment.</x:v>
      </x:c>
      <x:c r="E17" s="97"/>
      <x:c r="F17" s="97"/>
      <x:c r="G17" s="97"/>
      <x:c r="H17" s="98"/>
    </x:row>
    <x:row r="18" ht="38" customHeight="1">
      <x:c r="A18" s="94" t="str">
        <x:v>China share of narrow country-partner imports</x:v>
      </x:c>
      <x:c r="B18" s="101" t="n">
        <x:f>'Route Partners'!J2</x:f>
        <x:v>0.7424883</x:v>
      </x:c>
      <x:c r="C18" s="96" t="str">
        <x:v>%</x:v>
      </x:c>
      <x:c r="D18" s="97" t="str">
        <x:v>China origin rows dominate; EU hub rows do not prove original origin.</x:v>
      </x:c>
      <x:c r="E18" s="97"/>
      <x:c r="F18" s="97"/>
      <x:c r="G18" s="97"/>
      <x:c r="H18" s="98"/>
    </x:row>
    <x:row r="19" ht="38" customHeight="1">
      <x:c r="A19" s="94" t="str">
        <x:v>2026 regular e-liquid tax</x:v>
      </x:c>
      <x:c r="B19" s="102" t="n">
        <x:f>'Tax Rates'!D8</x:f>
        <x:v>2.087</x:v>
      </x:c>
      <x:c r="C19" s="96" t="str">
        <x:v>SEK/ml</x:v>
      </x:c>
      <x:c r="D19" s="97" t="str">
        <x:v>Official Skatteverket current rate.</x:v>
      </x:c>
      <x:c r="E19" s="97"/>
      <x:c r="F19" s="97"/>
      <x:c r="G19" s="97"/>
      <x:c r="H19" s="98"/>
    </x:row>
    <x:row r="20" ht="38" customHeight="1">
      <x:c r="A20" s="103" t="str">
        <x:v>2026 high-concentration tax</x:v>
      </x:c>
      <x:c r="B20" s="104" t="n">
        <x:f>'Tax Rates'!D9</x:f>
        <x:v>4.174</x:v>
      </x:c>
      <x:c r="C20" s="105" t="str">
        <x:v>SEK/ml</x:v>
      </x:c>
      <x:c r="D20" s="106" t="str">
        <x:v>Official rate for 15-20 mg/ml nicotine e-liquid.</x:v>
      </x:c>
      <x:c r="E20" s="106"/>
      <x:c r="F20" s="106"/>
      <x:c r="G20" s="106"/>
      <x:c r="H20" s="107"/>
    </x:row>
    <x:row r="21">
      <x:c r="A21" s="130"/>
      <x:c r="B21" s="130"/>
      <x:c r="C21" s="130"/>
      <x:c r="D21" s="130"/>
      <x:c r="E21" s="130"/>
      <x:c r="F21" s="130"/>
      <x:c r="G21" s="130"/>
      <x:c r="H21" s="130"/>
    </x:row>
    <x:row r="22">
      <x:c r="A22" s="132" t="str">
        <x:v>Model status</x:v>
      </x:c>
      <x:c r="B22" s="133" t="str">
        <x:f>IF(COUNTIF(F25:F32,"OK")=8,"OK","REVIEW")</x:f>
        <x:v>OK</x:v>
      </x:c>
      <x:c r="C22" s="130"/>
      <x:c r="D22" s="130"/>
      <x:c r="E22" s="130"/>
      <x:c r="F22" s="130"/>
      <x:c r="G22" s="130"/>
      <x:c r="H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</x:row>
    <x:row r="24">
      <x:c r="A24" s="134" t="str">
        <x:v>Audit check</x:v>
      </x:c>
      <x:c r="B24" s="134" t="str">
        <x:v>Actual</x:v>
      </x:c>
      <x:c r="C24" s="134" t="str">
        <x:v>Expected</x:v>
      </x:c>
      <x:c r="D24" s="134" t="str">
        <x:v>Difference</x:v>
      </x:c>
      <x:c r="E24" s="134" t="str">
        <x:v>Tolerance</x:v>
      </x:c>
      <x:c r="F24" s="134" t="str">
        <x:v>Status</x:v>
      </x:c>
      <x:c r="G24" s="134" t="str">
        <x:v>Meaning</x:v>
      </x:c>
      <x:c r="H24" s="134"/>
    </x:row>
    <x:row r="25" ht="60" customHeight="1">
      <x:c r="A25" s="135" t="str">
        <x:v>2024 volume total</x:v>
      </x:c>
      <x:c r="B25" s="136" t="n">
        <x:f>SUM('Volume Revenue'!C2:C3)</x:f>
        <x:v>26000</x:v>
      </x:c>
      <x:c r="C25" s="136" t="n">
        <x:v>26000</x:v>
      </x:c>
      <x:c r="D25" s="136" t="n">
        <x:f>B25-C25</x:f>
        <x:v>0</x:v>
      </x:c>
      <x:c r="E25" s="136" t="n">
        <x:v>0</x:v>
      </x:c>
      <x:c r="F25" s="91" t="str">
        <x:f>IF(ABS(D25)&lt;=E25,"OK","REVIEW")</x:f>
        <x:v>OK</x:v>
      </x:c>
      <x:c r="G25" s="137" t="str">
        <x:v>Displayed strength-group quantities must total 26,000 litres.</x:v>
      </x:c>
      <x:c r="H25" s="138"/>
    </x:row>
    <x:row r="26" ht="60" customHeight="1">
      <x:c r="A26" s="139" t="str">
        <x:v>2024 displayed revenue total</x:v>
      </x:c>
      <x:c r="B26" s="140" t="n">
        <x:f>SUM('Volume Revenue'!E2:E3)</x:f>
        <x:v>80000000</x:v>
      </x:c>
      <x:c r="C26" s="140" t="n">
        <x:v>80000000</x:v>
      </x:c>
      <x:c r="D26" s="140" t="n">
        <x:f>B26-C26</x:f>
        <x:v>0</x:v>
      </x:c>
      <x:c r="E26" s="140" t="n">
        <x:v>0</x:v>
      </x:c>
      <x:c r="F26" s="96" t="str">
        <x:f>IF(ABS(D26)&lt;=E26,"OK","REVIEW")</x:f>
        <x:v>OK</x:v>
      </x:c>
      <x:c r="G26" s="141" t="str">
        <x:v>Displayed e-liquid tax rows must total SEK 80m.</x:v>
      </x:c>
      <x:c r="H26" s="142"/>
    </x:row>
    <x:row r="27" ht="60" customHeight="1">
      <x:c r="A27" s="139" t="str">
        <x:v>Mechanical component total</x:v>
      </x:c>
      <x:c r="B27" s="140" t="n">
        <x:f>SUM('Tax Reconciliation'!D2:D3)-'Tax Reconciliation'!D4</x:f>
        <x:v>0</x:v>
      </x:c>
      <x:c r="C27" s="140" t="n">
        <x:v>0</x:v>
      </x:c>
      <x:c r="D27" s="140" t="n">
        <x:f>B27-C27</x:f>
        <x:v>0</x:v>
      </x:c>
      <x:c r="E27" s="140" t="n">
        <x:v>0</x:v>
      </x:c>
      <x:c r="F27" s="96" t="str">
        <x:f>IF(ABS(D27)&lt;=E27,"OK","REVIEW")</x:f>
        <x:v>OK</x:v>
      </x:c>
      <x:c r="G27" s="141" t="str">
        <x:v>Strength-group mechanical tax must equal reconciliation total.</x:v>
      </x:c>
      <x:c r="H27" s="142"/>
    </x:row>
    <x:row r="28" ht="60" customHeight="1">
      <x:c r="A28" s="139" t="str">
        <x:v>Point-gap tolerance</x:v>
      </x:c>
      <x:c r="B28" s="140" t="n">
        <x:f>ABS('Tax Reconciliation'!F4)</x:f>
        <x:v>800000</x:v>
      </x:c>
      <x:c r="C28" s="140" t="n">
        <x:v>0</x:v>
      </x:c>
      <x:c r="D28" s="140" t="n">
        <x:f>B28-C28</x:f>
        <x:v>800000</x:v>
      </x:c>
      <x:c r="E28" s="140" t="n">
        <x:f>'Tax Reconciliation'!E4*1%</x:f>
        <x:v>800000</x:v>
      </x:c>
      <x:c r="F28" s="96" t="str">
        <x:f>IF(ABS(D28)&lt;=E28,"OK","REVIEW")</x:f>
        <x:v>OK</x:v>
      </x:c>
      <x:c r="G28" s="141" t="str">
        <x:v>Absolute SEK 0.8m gap must be no more than 1% of displayed revenue.</x:v>
      </x:c>
      <x:c r="H28" s="142"/>
    </x:row>
    <x:row r="29" ht="60" customHeight="1">
      <x:c r="A29" s="139" t="str">
        <x:v>Rounding interval overlaps</x:v>
      </x:c>
      <x:c r="B29" s="140" t="n">
        <x:f>COUNTIF('Tax Reconciliation'!N2:N4,"true")</x:f>
        <x:v>3</x:v>
      </x:c>
      <x:c r="C29" s="140" t="n">
        <x:v>3</x:v>
      </x:c>
      <x:c r="D29" s="140" t="n">
        <x:f>B29-C29</x:f>
        <x:v>0</x:v>
      </x:c>
      <x:c r="E29" s="140" t="n">
        <x:v>0</x:v>
      </x:c>
      <x:c r="F29" s="96" t="str">
        <x:f>IF(ABS(D29)&lt;=E29,"OK","REVIEW")</x:f>
        <x:v>OK</x:v>
      </x:c>
      <x:c r="G29" s="141" t="str">
        <x:v>Each strength group and total must pass the rounding-overlap test.</x:v>
      </x:c>
      <x:c r="H29" s="142"/>
    </x:row>
    <x:row r="30" ht="60" customHeight="1">
      <x:c r="A30" s="139" t="str">
        <x:v>Narrow import route gap</x:v>
      </x:c>
      <x:c r="B30" s="140" t="n">
        <x:f>'Customs Route'!M6</x:f>
        <x:v>0</x:v>
      </x:c>
      <x:c r="C30" s="140" t="n">
        <x:v>0</x:v>
      </x:c>
      <x:c r="D30" s="140" t="n">
        <x:f>B30-C30</x:f>
        <x:v>0</x:v>
      </x:c>
      <x:c r="E30" s="140" t="n">
        <x:v>0</x:v>
      </x:c>
      <x:c r="F30" s="96" t="str">
        <x:f>IF(ABS(D30)&lt;=E30,"OK","REVIEW")</x:f>
        <x:v>OK</x:v>
      </x:c>
      <x:c r="G30" s="141" t="str">
        <x:v>WORLD imports must equal intra-EU plus extra-EU imports.</x:v>
      </x:c>
      <x:c r="H30" s="142"/>
    </x:row>
    <x:row r="31" ht="60" customHeight="1">
      <x:c r="A31" s="139" t="str">
        <x:v>Narrow export route gap</x:v>
      </x:c>
      <x:c r="B31" s="140" t="n">
        <x:f>'Customs Route'!N6</x:f>
        <x:v>0</x:v>
      </x:c>
      <x:c r="C31" s="140" t="n">
        <x:v>0</x:v>
      </x:c>
      <x:c r="D31" s="140" t="n">
        <x:f>B31-C31</x:f>
        <x:v>0</x:v>
      </x:c>
      <x:c r="E31" s="140" t="n">
        <x:v>0</x:v>
      </x:c>
      <x:c r="F31" s="96" t="str">
        <x:f>IF(ABS(D31)&lt;=E31,"OK","REVIEW")</x:f>
        <x:v>OK</x:v>
      </x:c>
      <x:c r="G31" s="141" t="str">
        <x:v>WORLD exports must equal intra-EU plus extra-EU exports.</x:v>
      </x:c>
      <x:c r="H31" s="142"/>
    </x:row>
    <x:row r="32" ht="60" customHeight="1">
      <x:c r="A32" s="139" t="str">
        <x:v>Stress-volume bridge</x:v>
      </x:c>
      <x:c r="B32" s="140" t="n">
        <x:f>'Price Stress'!D3-SUM('Volume Revenue'!C2:C3)</x:f>
        <x:v>0</x:v>
      </x:c>
      <x:c r="C32" s="140" t="n">
        <x:v>0</x:v>
      </x:c>
      <x:c r="D32" s="140" t="n">
        <x:f>B32-C32</x:f>
        <x:v>0</x:v>
      </x:c>
      <x:c r="E32" s="140" t="n">
        <x:v>0</x:v>
      </x:c>
      <x:c r="F32" s="96" t="str">
        <x:f>IF(ABS(D32)&lt;=E32,"OK","REVIEW")</x:f>
        <x:v>OK</x:v>
      </x:c>
      <x:c r="G32" s="141" t="str">
        <x:v>Baseline stress must use the official 26,000-litre volume.</x:v>
      </x:c>
      <x:c r="H32" s="142"/>
    </x:row>
    <x:row r="33" ht="60" customHeight="1">
      <x:c r="A33" s="143" t="str">
        <x:v>National annual EU-CEG aggregate</x:v>
      </x:c>
      <x:c r="B33" s="105"/>
      <x:c r="C33" s="105"/>
      <x:c r="D33" s="105"/>
      <x:c r="E33" s="105"/>
      <x:c r="F33" s="144" t="str">
        <x:v>LIMITATION</x:v>
      </x:c>
      <x:c r="G33" s="145" t="str">
        <x:v>Collection duty is proven; public national aggregate remains requested in PX-SE-001.</x:v>
      </x:c>
      <x:c r="H33" s="146"/>
    </x:row>
    <x:row r="34">
      <x:c r="A34" s="130"/>
      <x:c r="B34" s="130"/>
      <x:c r="C34" s="130"/>
      <x:c r="D34" s="130"/>
      <x:c r="E34" s="130"/>
      <x:c r="F34" s="130"/>
      <x:c r="G34" s="130"/>
      <x:c r="H34" s="130"/>
    </x:row>
    <x:row r="35">
      <x:c r="A35" s="147" t="str">
        <x:v>Evidence boundary</x:v>
      </x:c>
      <x:c r="B35" s="147"/>
      <x:c r="C35" s="147"/>
      <x:c r="D35" s="147"/>
      <x:c r="E35" s="147"/>
      <x:c r="F35" s="147"/>
      <x:c r="G35" s="147"/>
      <x:c r="H35" s="147"/>
    </x:row>
    <x:row r="36">
      <x:c r="A36" s="148" t="str">
        <x:v>• The Ministry's 2024 rows are the latest full-year anchor used here. The 2025-2026 rows are not labelled as final actuals and are kept separate.</x:v>
      </x:c>
      <x:c r="B36" s="148"/>
      <x:c r="C36" s="148"/>
      <x:c r="D36" s="148"/>
      <x:c r="E36" s="148"/>
      <x:c r="F36" s="148"/>
      <x:c r="G36" s="148"/>
      <x:c r="H36" s="148"/>
    </x:row>
    <x:row r="37">
      <x:c r="A37" s="149" t="str">
        <x:v>• Table 7.5 displays e-liquid revenue to SEK 0.01bn and quantity to thousand litres. The exact-rate point estimate is SEK 80.8m versus SEK 80m displayed; the implied rounding intervals overlap.</x:v>
      </x:c>
      <x:c r="B37" s="149"/>
      <x:c r="C37" s="149"/>
      <x:c r="D37" s="149"/>
      <x:c r="E37" s="149"/>
      <x:c r="F37" s="149"/>
      <x:c r="G37" s="149"/>
      <x:c r="H37" s="149"/>
    </x:row>
    <x:row r="38">
      <x:c r="A38" s="148" t="str">
        <x:v>• WHO prices are cheapest-brand observations, not a sales-weighted price index. The SEK 143.52m-215.28m range is a stress test only.</x:v>
      </x:c>
      <x:c r="B38" s="148"/>
      <x:c r="C38" s="148"/>
      <x:c r="D38" s="148"/>
      <x:c r="E38" s="148"/>
      <x:c r="F38" s="148"/>
      <x:c r="G38" s="148"/>
      <x:c r="H38" s="148"/>
    </x:row>
    <x:row r="39">
      <x:c r="A39" s="149" t="str">
        <x:v>• Eurostat CN 24041200 is a broad nicotine-inhalation proxy. Customs values are CIF/FOB border flows and cannot be converted directly into Swedish consumer turnover.</x:v>
      </x:c>
      <x:c r="B39" s="149"/>
      <x:c r="C39" s="149"/>
      <x:c r="D39" s="149"/>
      <x:c r="E39" s="149"/>
      <x:c r="F39" s="149"/>
      <x:c r="G39" s="149"/>
      <x:c r="H39" s="149"/>
    </x:row>
    <x:row r="40">
      <x:c r="A40" s="148" t="str">
        <x:v>• Intra-EU import partner is country of consignment; extra-EU import partner is country of origin. Hub countries can therefore mask the manufacturing origin.</x:v>
      </x:c>
      <x:c r="B40" s="148"/>
      <x:c r="C40" s="148"/>
      <x:c r="D40" s="148"/>
      <x:c r="E40" s="148"/>
      <x:c r="F40" s="148"/>
      <x:c r="G40" s="148"/>
      <x:c r="H40" s="148"/>
    </x:row>
    <x:row r="41">
      <x:c r="A41" s="149" t="str">
        <x:v>• Devices, nicotine-free liquids, domestic production, inventory change and illegal/undeclared sales remain outside the official 26,000-litre tax anchor.</x:v>
      </x:c>
      <x:c r="B41" s="149"/>
      <x:c r="C41" s="149"/>
      <x:c r="D41" s="149"/>
      <x:c r="E41" s="149"/>
      <x:c r="F41" s="149"/>
      <x:c r="G41" s="149"/>
      <x:c r="H41" s="149"/>
    </x:row>
    <x:row r="42">
      <x:c r="A42" s="148" t="str">
        <x:v>• PX-SE-001 requests annual sales units/ml/value and completeness from FHM. PX-SE-002 requests unrounded tax-volume inputs from the Finance Ministry. Neither message has been sent.</x:v>
      </x:c>
      <x:c r="B42" s="148"/>
      <x:c r="C42" s="148"/>
      <x:c r="D42" s="148"/>
      <x:c r="E42" s="148"/>
      <x:c r="F42" s="148"/>
      <x:c r="G42" s="148"/>
      <x:c r="H42" s="148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G24:H24"/>
    <x:mergeCell ref="G25:H25"/>
    <x:mergeCell ref="G26:H26"/>
    <x:mergeCell ref="G27:H27"/>
    <x:mergeCell ref="G28:H28"/>
    <x:mergeCell ref="G29:H29"/>
    <x:mergeCell ref="G30:H30"/>
    <x:mergeCell ref="G31:H31"/>
    <x:mergeCell ref="G32:H32"/>
    <x:mergeCell ref="G33:H33"/>
    <x:mergeCell ref="A35:H35"/>
    <x:mergeCell ref="A36:H36"/>
    <x:mergeCell ref="A37:H37"/>
    <x:mergeCell ref="A38:H38"/>
    <x:mergeCell ref="A39:H39"/>
    <x:mergeCell ref="A40:H40"/>
    <x:mergeCell ref="A41:H41"/>
    <x:mergeCell ref="A42:H42"/>
  </x:mergeCells>
  <x:conditionalFormatting sqref="F25:F32">
    <x:cfRule type="expression" dxfId="0" priority="1">
      <x:formula>F25="OK"</x:formula>
    </x:cfRule>
    <x:cfRule type="expression" dxfId="1" priority="2">
      <x:formula>F25="REVIEW"</x:formula>
    </x:cfRule>
  </x:conditionalFormatting>
  <x:pageMargins left="0.7" right="0.7" top="0.75" bottom="0.75" header="0.3" footer="0.3"/>
  <x:legacyDrawing xmlns:r="http://schemas.openxmlformats.org/officeDocument/2006/relationships" r:id="R202804f91e0945b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4" hidden="0" customWidth="1"/>
    <x:col min="6" max="6" width="54" hidden="0" customWidth="1"/>
    <x:col min="7" max="7" width="54" hidden="0" customWidth="1"/>
  </x:cols>
  <x:sheetData>
    <x:row r="1" ht="26.399999618530273" hidden="0" customHeight="1">
      <x:c r="A1" s="156" t="str">
        <x:v>year</x:v>
      </x:c>
      <x:c r="B1" s="157" t="str">
        <x:v>category</x:v>
      </x:c>
      <x:c r="C1" s="157" t="str">
        <x:v>rate_sek_per_litre</x:v>
      </x:c>
      <x:c r="D1" s="157" t="str">
        <x:v>rate_sek_per_ml</x:v>
      </x:c>
      <x:c r="E1" s="157" t="str">
        <x:v>definition</x:v>
      </x:c>
      <x:c r="F1" s="157" t="str">
        <x:v>status</x:v>
      </x:c>
      <x:c r="G1" s="158" t="str">
        <x:v>source_url</x:v>
      </x:c>
    </x:row>
    <x:row r="2" ht="108" hidden="0" customHeight="1">
      <x:c r="A2" s="178" t="n">
        <x:v>2023</x:v>
      </x:c>
      <x:c r="B2" s="179" t="str">
        <x:v>regular_e_liquid</x:v>
      </x:c>
      <x:c r="C2" s="187" t="n">
        <x:v>2000</x:v>
      </x:c>
      <x:c r="D2" s="190" t="n">
        <x:v>2</x:v>
      </x:c>
      <x:c r="E2" s="179" t="str">
        <x:v>nicotine e-liquid below 15 mg/ml within taxable scope</x:v>
      </x:c>
      <x:c r="F2" s="179" t="str">
        <x:v>official_historical_rate</x:v>
      </x:c>
      <x:c r="G2" s="180" t="str">
        <x:v>https://www.skatteverket.se/foretagochorganisationer/skatter/punktskatter/nikotinskatt.4.41f1c61d16193087d7fc7fe.html</x:v>
      </x:c>
    </x:row>
    <x:row r="3" ht="108" hidden="0" customHeight="1">
      <x:c r="A3" s="181" t="n">
        <x:v>2023</x:v>
      </x:c>
      <x:c r="B3" s="182" t="str">
        <x:v>high_concentration_e_liquid</x:v>
      </x:c>
      <x:c r="C3" s="188" t="n">
        <x:v>4000</x:v>
      </x:c>
      <x:c r="D3" s="191" t="n">
        <x:v>4</x:v>
      </x:c>
      <x:c r="E3" s="182" t="str">
        <x:v>nicotine concentration at least 15 and no more than 20 mg/ml</x:v>
      </x:c>
      <x:c r="F3" s="182" t="str">
        <x:v>official_historical_rate</x:v>
      </x:c>
      <x:c r="G3" s="183" t="str">
        <x:v>https://www.skatteverket.se/foretagochorganisationer/skatter/punktskatter/nikotinskatt.4.41f1c61d16193087d7fc7fe.html</x:v>
      </x:c>
    </x:row>
    <x:row r="4" ht="108" hidden="0" customHeight="1">
      <x:c r="A4" s="181" t="n">
        <x:v>2024</x:v>
      </x:c>
      <x:c r="B4" s="182" t="str">
        <x:v>regular_e_liquid</x:v>
      </x:c>
      <x:c r="C4" s="188" t="n">
        <x:v>2020</x:v>
      </x:c>
      <x:c r="D4" s="191" t="n">
        <x:v>2.02</x:v>
      </x:c>
      <x:c r="E4" s="182" t="str">
        <x:v>nicotine e-liquid below 15 mg/ml within taxable scope</x:v>
      </x:c>
      <x:c r="F4" s="182" t="str">
        <x:v>official_historical_rate</x:v>
      </x:c>
      <x:c r="G4" s="183" t="str">
        <x:v>https://www.skatteverket.se/foretagochorganisationer/skatter/punktskatter/nikotinskatt.4.41f1c61d16193087d7fc7fe.html</x:v>
      </x:c>
    </x:row>
    <x:row r="5" ht="108" hidden="0" customHeight="1">
      <x:c r="A5" s="181" t="n">
        <x:v>2024</x:v>
      </x:c>
      <x:c r="B5" s="182" t="str">
        <x:v>high_concentration_e_liquid</x:v>
      </x:c>
      <x:c r="C5" s="188" t="n">
        <x:v>4040</x:v>
      </x:c>
      <x:c r="D5" s="191" t="n">
        <x:v>4.04</x:v>
      </x:c>
      <x:c r="E5" s="182" t="str">
        <x:v>nicotine concentration at least 15 and no more than 20 mg/ml</x:v>
      </x:c>
      <x:c r="F5" s="182" t="str">
        <x:v>official_historical_rate</x:v>
      </x:c>
      <x:c r="G5" s="183" t="str">
        <x:v>https://www.skatteverket.se/foretagochorganisationer/skatter/punktskatter/nikotinskatt.4.41f1c61d16193087d7fc7fe.html</x:v>
      </x:c>
    </x:row>
    <x:row r="6" ht="108" hidden="0" customHeight="1">
      <x:c r="A6" s="181" t="n">
        <x:v>2025</x:v>
      </x:c>
      <x:c r="B6" s="182" t="str">
        <x:v>regular_e_liquid</x:v>
      </x:c>
      <x:c r="C6" s="188" t="n">
        <x:v>2072</x:v>
      </x:c>
      <x:c r="D6" s="191" t="n">
        <x:v>2.072</x:v>
      </x:c>
      <x:c r="E6" s="182" t="str">
        <x:v>nicotine e-liquid below 15 mg/ml within taxable scope</x:v>
      </x:c>
      <x:c r="F6" s="182" t="str">
        <x:v>official_historical_rate</x:v>
      </x:c>
      <x:c r="G6" s="183" t="str">
        <x:v>https://www.skatteverket.se/foretagochorganisationer/skatter/punktskatter/nikotinskatt.4.41f1c61d16193087d7fc7fe.html</x:v>
      </x:c>
    </x:row>
    <x:row r="7" ht="108" hidden="0" customHeight="1">
      <x:c r="A7" s="181" t="n">
        <x:v>2025</x:v>
      </x:c>
      <x:c r="B7" s="182" t="str">
        <x:v>high_concentration_e_liquid</x:v>
      </x:c>
      <x:c r="C7" s="188" t="n">
        <x:v>4143</x:v>
      </x:c>
      <x:c r="D7" s="191" t="n">
        <x:v>4.143</x:v>
      </x:c>
      <x:c r="E7" s="182" t="str">
        <x:v>nicotine concentration at least 15 and no more than 20 mg/ml</x:v>
      </x:c>
      <x:c r="F7" s="182" t="str">
        <x:v>official_historical_rate</x:v>
      </x:c>
      <x:c r="G7" s="183" t="str">
        <x:v>https://www.skatteverket.se/foretagochorganisationer/skatter/punktskatter/nikotinskatt.4.41f1c61d16193087d7fc7fe.html</x:v>
      </x:c>
    </x:row>
    <x:row r="8" ht="108" hidden="0" customHeight="1">
      <x:c r="A8" s="181" t="n">
        <x:v>2026</x:v>
      </x:c>
      <x:c r="B8" s="182" t="str">
        <x:v>regular_e_liquid</x:v>
      </x:c>
      <x:c r="C8" s="188" t="n">
        <x:v>2087</x:v>
      </x:c>
      <x:c r="D8" s="191" t="n">
        <x:v>2.087</x:v>
      </x:c>
      <x:c r="E8" s="182" t="str">
        <x:v>nicotine e-liquid below 15 mg/ml within taxable scope</x:v>
      </x:c>
      <x:c r="F8" s="182" t="str">
        <x:v>official_current_rate</x:v>
      </x:c>
      <x:c r="G8" s="183" t="str">
        <x:v>https://www.skatteverket.se/foretagochorganisationer/skatter/punktskatter/nikotinskatt.4.41f1c61d16193087d7fc7fe.html</x:v>
      </x:c>
    </x:row>
    <x:row r="9" ht="108" hidden="0" customHeight="1">
      <x:c r="A9" s="184" t="n">
        <x:v>2026</x:v>
      </x:c>
      <x:c r="B9" s="185" t="str">
        <x:v>high_concentration_e_liquid</x:v>
      </x:c>
      <x:c r="C9" s="189" t="n">
        <x:v>4174</x:v>
      </x:c>
      <x:c r="D9" s="192" t="n">
        <x:v>4.174</x:v>
      </x:c>
      <x:c r="E9" s="185" t="str">
        <x:v>nicotine concentration at least 15 and no more than 20 mg/ml</x:v>
      </x:c>
      <x:c r="F9" s="185" t="str">
        <x:v>official_current_rate</x:v>
      </x:c>
      <x:c r="G9" s="186" t="str">
        <x:v>https://www.skatteverket.se/foretagochorganisationer/skatter/punktskatter/nikotinskatt.4.41f1c61d16193087d7fc7fe.html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56" hidden="0" customWidth="1"/>
    <x:col min="10" max="10" width="56" hidden="0" customWidth="1"/>
    <x:col min="11" max="11" width="56" hidden="0" customWidth="1"/>
  </x:cols>
  <x:sheetData>
    <x:row r="1" ht="52.79999923706055" hidden="0" customHeight="1">
      <x:c r="A1" s="156" t="str">
        <x:v>year</x:v>
      </x:c>
      <x:c r="B1" s="157" t="str">
        <x:v>category</x:v>
      </x:c>
      <x:c r="C1" s="157" t="str">
        <x:v>registered_quantity_litres</x:v>
      </x:c>
      <x:c r="D1" s="157" t="str">
        <x:v>registered_quantity_ml</x:v>
      </x:c>
      <x:c r="E1" s="157" t="str">
        <x:v>tax_revenue_sek</x:v>
      </x:c>
      <x:c r="F1" s="157" t="str">
        <x:v>status</x:v>
      </x:c>
      <x:c r="G1" s="157" t="str">
        <x:v>display_granularity_quantity_litres</x:v>
      </x:c>
      <x:c r="H1" s="157" t="str">
        <x:v>display_granularity_revenue_sek</x:v>
      </x:c>
      <x:c r="I1" s="157" t="str">
        <x:v>source_table</x:v>
      </x:c>
      <x:c r="J1" s="157" t="str">
        <x:v>source_url</x:v>
      </x:c>
      <x:c r="K1" s="158" t="str">
        <x:v>boundary</x:v>
      </x:c>
    </x:row>
    <x:row r="2" ht="97.19999694824219" hidden="0" customHeight="1">
      <x:c r="A2" s="178" t="n">
        <x:v>2024</x:v>
      </x:c>
      <x:c r="B2" s="179" t="str">
        <x:v>high_concentration_e_liquid</x:v>
      </x:c>
      <x:c r="C2" s="193" t="n">
        <x:v>14000</x:v>
      </x:c>
      <x:c r="D2" s="196" t="n">
        <x:v>14000000</x:v>
      </x:c>
      <x:c r="E2" s="199" t="n">
        <x:v>60000000</x:v>
      </x:c>
      <x:c r="F2" s="179" t="str">
        <x:v>official_latest_full_outturn_anchor</x:v>
      </x:c>
      <x:c r="G2" s="179" t="n">
        <x:v>1000</x:v>
      </x:c>
      <x:c r="H2" s="179" t="n">
        <x:v>10000000</x:v>
      </x:c>
      <x:c r="I2" s="179" t="str">
        <x:v>Berakningskonventioner 2026, table 7.5, page 139</x:v>
      </x:c>
      <x:c r="J2" s="179" t="str">
        <x:v>https://www.regeringen.se/contentassets/1ed01e00001b42e5ad8d47433db63ece/berakningskonventioner_2026.pdf</x:v>
      </x:c>
      <x:c r="K2" s="180" t="str">
        <x:v>registered taxable consumption and tax revenue; not retail sell-out or total market value</x:v>
      </x:c>
    </x:row>
    <x:row r="3" ht="97.19999694824219" hidden="0" customHeight="1">
      <x:c r="A3" s="181" t="n">
        <x:v>2024</x:v>
      </x:c>
      <x:c r="B3" s="182" t="str">
        <x:v>regular_e_liquid</x:v>
      </x:c>
      <x:c r="C3" s="194" t="n">
        <x:v>12000</x:v>
      </x:c>
      <x:c r="D3" s="197" t="n">
        <x:v>12000000</x:v>
      </x:c>
      <x:c r="E3" s="200" t="n">
        <x:v>20000000</x:v>
      </x:c>
      <x:c r="F3" s="182" t="str">
        <x:v>official_latest_full_outturn_anchor</x:v>
      </x:c>
      <x:c r="G3" s="182" t="n">
        <x:v>1000</x:v>
      </x:c>
      <x:c r="H3" s="182" t="n">
        <x:v>10000000</x:v>
      </x:c>
      <x:c r="I3" s="182" t="str">
        <x:v>Berakningskonventioner 2026, table 7.5, page 139</x:v>
      </x:c>
      <x:c r="J3" s="182" t="str">
        <x:v>https://www.regeringen.se/contentassets/1ed01e00001b42e5ad8d47433db63ece/berakningskonventioner_2026.pdf</x:v>
      </x:c>
      <x:c r="K3" s="183" t="str">
        <x:v>registered taxable consumption and tax revenue; not retail sell-out or total market value</x:v>
      </x:c>
    </x:row>
    <x:row r="4" ht="97.19999694824219" hidden="0" customHeight="1">
      <x:c r="A4" s="181" t="n">
        <x:v>2025</x:v>
      </x:c>
      <x:c r="B4" s="182" t="str">
        <x:v>high_concentration_e_liquid</x:v>
      </x:c>
      <x:c r="C4" s="194" t="n">
        <x:v>14000</x:v>
      </x:c>
      <x:c r="D4" s="197" t="n">
        <x:v>14000000</x:v>
      </x:c>
      <x:c r="E4" s="200" t="n">
        <x:v>60000000</x:v>
      </x:c>
      <x:c r="F4" s="182" t="str">
        <x:v>official_forecast_or_current_estimate_not_actual</x:v>
      </x:c>
      <x:c r="G4" s="182" t="n">
        <x:v>1000</x:v>
      </x:c>
      <x:c r="H4" s="182" t="n">
        <x:v>10000000</x:v>
      </x:c>
      <x:c r="I4" s="182" t="str">
        <x:v>Berakningskonventioner 2026, table 7.5, page 139</x:v>
      </x:c>
      <x:c r="J4" s="182" t="str">
        <x:v>https://www.regeringen.se/contentassets/1ed01e00001b42e5ad8d47433db63ece/berakningskonventioner_2026.pdf</x:v>
      </x:c>
      <x:c r="K4" s="183" t="str">
        <x:v>registered taxable consumption and tax revenue; not retail sell-out or total market value</x:v>
      </x:c>
    </x:row>
    <x:row r="5" ht="97.19999694824219" hidden="0" customHeight="1">
      <x:c r="A5" s="181" t="n">
        <x:v>2025</x:v>
      </x:c>
      <x:c r="B5" s="182" t="str">
        <x:v>regular_e_liquid</x:v>
      </x:c>
      <x:c r="C5" s="194" t="n">
        <x:v>12000</x:v>
      </x:c>
      <x:c r="D5" s="197" t="n">
        <x:v>12000000</x:v>
      </x:c>
      <x:c r="E5" s="200" t="n">
        <x:v>20000000</x:v>
      </x:c>
      <x:c r="F5" s="182" t="str">
        <x:v>official_forecast_or_current_estimate_not_actual</x:v>
      </x:c>
      <x:c r="G5" s="182" t="n">
        <x:v>1000</x:v>
      </x:c>
      <x:c r="H5" s="182" t="n">
        <x:v>10000000</x:v>
      </x:c>
      <x:c r="I5" s="182" t="str">
        <x:v>Berakningskonventioner 2026, table 7.5, page 139</x:v>
      </x:c>
      <x:c r="J5" s="182" t="str">
        <x:v>https://www.regeringen.se/contentassets/1ed01e00001b42e5ad8d47433db63ece/berakningskonventioner_2026.pdf</x:v>
      </x:c>
      <x:c r="K5" s="183" t="str">
        <x:v>registered taxable consumption and tax revenue; not retail sell-out or total market value</x:v>
      </x:c>
    </x:row>
    <x:row r="6" ht="97.19999694824219" hidden="0" customHeight="1">
      <x:c r="A6" s="181" t="n">
        <x:v>2026</x:v>
      </x:c>
      <x:c r="B6" s="182" t="str">
        <x:v>high_concentration_e_liquid</x:v>
      </x:c>
      <x:c r="C6" s="194" t="n">
        <x:v>14000</x:v>
      </x:c>
      <x:c r="D6" s="197" t="n">
        <x:v>14000000</x:v>
      </x:c>
      <x:c r="E6" s="200" t="n">
        <x:v>60000000</x:v>
      </x:c>
      <x:c r="F6" s="182" t="str">
        <x:v>official_forecast_or_current_estimate_not_actual</x:v>
      </x:c>
      <x:c r="G6" s="182" t="n">
        <x:v>1000</x:v>
      </x:c>
      <x:c r="H6" s="182" t="n">
        <x:v>10000000</x:v>
      </x:c>
      <x:c r="I6" s="182" t="str">
        <x:v>Berakningskonventioner 2026, table 7.5, page 139</x:v>
      </x:c>
      <x:c r="J6" s="182" t="str">
        <x:v>https://www.regeringen.se/contentassets/1ed01e00001b42e5ad8d47433db63ece/berakningskonventioner_2026.pdf</x:v>
      </x:c>
      <x:c r="K6" s="183" t="str">
        <x:v>registered taxable consumption and tax revenue; not retail sell-out or total market value</x:v>
      </x:c>
    </x:row>
    <x:row r="7" ht="97.19999694824219" hidden="0" customHeight="1">
      <x:c r="A7" s="184" t="n">
        <x:v>2026</x:v>
      </x:c>
      <x:c r="B7" s="185" t="str">
        <x:v>regular_e_liquid</x:v>
      </x:c>
      <x:c r="C7" s="195" t="n">
        <x:v>11000</x:v>
      </x:c>
      <x:c r="D7" s="198" t="n">
        <x:v>11000000</x:v>
      </x:c>
      <x:c r="E7" s="201" t="n">
        <x:v>20000000</x:v>
      </x:c>
      <x:c r="F7" s="185" t="str">
        <x:v>official_forecast_or_current_estimate_not_actual</x:v>
      </x:c>
      <x:c r="G7" s="185" t="n">
        <x:v>1000</x:v>
      </x:c>
      <x:c r="H7" s="185" t="n">
        <x:v>10000000</x:v>
      </x:c>
      <x:c r="I7" s="185" t="str">
        <x:v>Berakningskonventioner 2026, table 7.5, page 139</x:v>
      </x:c>
      <x:c r="J7" s="185" t="str">
        <x:v>https://www.regeringen.se/contentassets/1ed01e00001b42e5ad8d47433db63ece/berakningskonventioner_2026.pdf</x:v>
      </x:c>
      <x:c r="K7" s="186" t="str">
        <x:v>registered taxable consumption and tax revenue; not retail sell-out or total market value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60" hidden="0" customWidth="1"/>
    <x:col min="16" max="16" width="60" hidden="0" customWidth="1"/>
  </x:cols>
  <x:sheetData>
    <x:row r="1" ht="66" hidden="0" customHeight="1">
      <x:c r="A1" s="156" t="str">
        <x:v>category</x:v>
      </x:c>
      <x:c r="B1" s="157" t="str">
        <x:v>displayed_quantity_litres</x:v>
      </x:c>
      <x:c r="C1" s="157" t="str">
        <x:v>official_2024_rate_sek_per_litre</x:v>
      </x:c>
      <x:c r="D1" s="157" t="str">
        <x:v>mechanical_tax_sek</x:v>
      </x:c>
      <x:c r="E1" s="157" t="str">
        <x:v>displayed_revenue_sek</x:v>
      </x:c>
      <x:c r="F1" s="157" t="str">
        <x:v>reported_minus_mechanical_sek</x:v>
      </x:c>
      <x:c r="G1" s="157" t="str">
        <x:v>reported_minus_mechanical_pct_of_reported</x:v>
      </x:c>
      <x:c r="H1" s="157" t="str">
        <x:v>quantity_rounding_low_litres</x:v>
      </x:c>
      <x:c r="I1" s="157" t="str">
        <x:v>quantity_rounding_high_litres</x:v>
      </x:c>
      <x:c r="J1" s="157" t="str">
        <x:v>mechanical_rounding_low_sek</x:v>
      </x:c>
      <x:c r="K1" s="157" t="str">
        <x:v>mechanical_rounding_high_sek</x:v>
      </x:c>
      <x:c r="L1" s="157" t="str">
        <x:v>revenue_rounding_low_sek</x:v>
      </x:c>
      <x:c r="M1" s="157" t="str">
        <x:v>revenue_rounding_high_sek</x:v>
      </x:c>
      <x:c r="N1" s="157" t="str">
        <x:v>rounding_intervals_overlap</x:v>
      </x:c>
      <x:c r="O1" s="157" t="str">
        <x:v>interpretation</x:v>
      </x:c>
      <x:c r="P1" s="158" t="str">
        <x:v>source_url</x:v>
      </x:c>
    </x:row>
    <x:row r="2" ht="140.39999389648438" hidden="0" customHeight="1">
      <x:c r="A2" s="178" t="str">
        <x:v>high_concentration_e_liquid</x:v>
      </x:c>
      <x:c r="B2" s="202" t="n">
        <x:v>14000</x:v>
      </x:c>
      <x:c r="C2" s="202" t="n">
        <x:v>4040</x:v>
      </x:c>
      <x:c r="D2" s="202" t="n">
        <x:v>56560000</x:v>
      </x:c>
      <x:c r="E2" s="202" t="n">
        <x:v>60000000</x:v>
      </x:c>
      <x:c r="F2" s="202" t="n">
        <x:v>3440000</x:v>
      </x:c>
      <x:c r="G2" s="205" t="n">
        <x:v>0.05733333</x:v>
      </x:c>
      <x:c r="H2" s="202" t="n">
        <x:v>13500</x:v>
      </x:c>
      <x:c r="I2" s="202" t="n">
        <x:v>14500</x:v>
      </x:c>
      <x:c r="J2" s="202" t="n">
        <x:v>54540000</x:v>
      </x:c>
      <x:c r="K2" s="202" t="n">
        <x:v>58580000</x:v>
      </x:c>
      <x:c r="L2" s="202" t="n">
        <x:v>55000000</x:v>
      </x:c>
      <x:c r="M2" s="202" t="n">
        <x:v>65000000</x:v>
      </x:c>
      <x:c r="N2" s="179" t="str">
        <x:v>true</x:v>
      </x:c>
      <x:c r="O2" s="179" t="str">
        <x:v>point estimates differ because table 7.5 displays quantity to thousand litres and revenue to SEK 0.01bn; intervals overlap</x:v>
      </x:c>
      <x:c r="P2" s="180" t="str">
        <x:v>https://www.regeringen.se/contentassets/1ed01e00001b42e5ad8d47433db63ece/berakningskonventioner_2026.pdf</x:v>
      </x:c>
    </x:row>
    <x:row r="3" ht="140.39999389648438" hidden="0" customHeight="1">
      <x:c r="A3" s="181" t="str">
        <x:v>regular_e_liquid</x:v>
      </x:c>
      <x:c r="B3" s="203" t="n">
        <x:v>12000</x:v>
      </x:c>
      <x:c r="C3" s="203" t="n">
        <x:v>2020</x:v>
      </x:c>
      <x:c r="D3" s="203" t="n">
        <x:v>24240000</x:v>
      </x:c>
      <x:c r="E3" s="203" t="n">
        <x:v>20000000</x:v>
      </x:c>
      <x:c r="F3" s="203" t="n">
        <x:v>-4240000</x:v>
      </x:c>
      <x:c r="G3" s="206" t="n">
        <x:v>-0.212</x:v>
      </x:c>
      <x:c r="H3" s="203" t="n">
        <x:v>11500</x:v>
      </x:c>
      <x:c r="I3" s="203" t="n">
        <x:v>12500</x:v>
      </x:c>
      <x:c r="J3" s="203" t="n">
        <x:v>23230000</x:v>
      </x:c>
      <x:c r="K3" s="203" t="n">
        <x:v>25250000</x:v>
      </x:c>
      <x:c r="L3" s="203" t="n">
        <x:v>15000000</x:v>
      </x:c>
      <x:c r="M3" s="203" t="n">
        <x:v>25000000</x:v>
      </x:c>
      <x:c r="N3" s="182" t="str">
        <x:v>true</x:v>
      </x:c>
      <x:c r="O3" s="182" t="str">
        <x:v>point estimates differ because table 7.5 displays quantity to thousand litres and revenue to SEK 0.01bn; intervals overlap</x:v>
      </x:c>
      <x:c r="P3" s="183" t="str">
        <x:v>https://www.regeringen.se/contentassets/1ed01e00001b42e5ad8d47433db63ece/berakningskonventioner_2026.pdf</x:v>
      </x:c>
    </x:row>
    <x:row r="4" ht="108" hidden="0" customHeight="1">
      <x:c r="A4" s="184" t="str">
        <x:v>total_e_liquid</x:v>
      </x:c>
      <x:c r="B4" s="204" t="n">
        <x:v>26000</x:v>
      </x:c>
      <x:c r="C4" s="204" t="str">
        <x:v>weighted_by_category</x:v>
      </x:c>
      <x:c r="D4" s="204" t="n">
        <x:v>80800000</x:v>
      </x:c>
      <x:c r="E4" s="204" t="n">
        <x:v>80000000</x:v>
      </x:c>
      <x:c r="F4" s="204" t="n">
        <x:v>-800000</x:v>
      </x:c>
      <x:c r="G4" s="207" t="n">
        <x:v>-0.01</x:v>
      </x:c>
      <x:c r="H4" s="204" t="n">
        <x:v>25000</x:v>
      </x:c>
      <x:c r="I4" s="204" t="n">
        <x:v>27000</x:v>
      </x:c>
      <x:c r="J4" s="204" t="n">
        <x:v>77770000</x:v>
      </x:c>
      <x:c r="K4" s="204" t="n">
        <x:v>83830000</x:v>
      </x:c>
      <x:c r="L4" s="204" t="n">
        <x:v>70000000</x:v>
      </x:c>
      <x:c r="M4" s="204" t="n">
        <x:v>90000000</x:v>
      </x:c>
      <x:c r="N4" s="185" t="str">
        <x:v>true</x:v>
      </x:c>
      <x:c r="O4" s="185" t="str">
        <x:v>total point estimate is within 1% of displayed revenue; combined component rounding intervals overlap</x:v>
      </x:c>
      <x:c r="P4" s="186" t="str">
        <x:v>https://www.regeringen.se/contentassets/1ed01e00001b42e5ad8d47433db63ece/berakningskonventioner_2026.pdf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2" hidden="0" customWidth="1"/>
    <x:col min="7" max="7" width="52" hidden="0" customWidth="1"/>
    <x:col min="8" max="8" width="52" hidden="0" customWidth="1"/>
    <x:col min="9" max="9" width="52" hidden="0" customWidth="1"/>
  </x:cols>
  <x:sheetData>
    <x:row r="1" ht="39.599998474121094" hidden="0" customHeight="1">
      <x:c r="A1" s="156" t="str">
        <x:v>format</x:v>
      </x:c>
      <x:c r="B1" s="157" t="str">
        <x:v>package_ml</x:v>
      </x:c>
      <x:c r="C1" s="157" t="str">
        <x:v>price_sek</x:v>
      </x:c>
      <x:c r="D1" s="157" t="str">
        <x:v>price_sek_per_ml</x:v>
      </x:c>
      <x:c r="E1" s="157" t="str">
        <x:v>specific_excise_share_pct</x:v>
      </x:c>
      <x:c r="F1" s="157" t="str">
        <x:v>observation</x:v>
      </x:c>
      <x:c r="G1" s="157" t="str">
        <x:v>source_tier</x:v>
      </x:c>
      <x:c r="H1" s="157" t="str">
        <x:v>source_page</x:v>
      </x:c>
      <x:c r="I1" s="158" t="str">
        <x:v>source_url</x:v>
      </x:c>
    </x:row>
    <x:row r="2" ht="97.19999694824219" hidden="0" customHeight="1">
      <x:c r="A2" s="178" t="str">
        <x:v>closed_system_e_liquid</x:v>
      </x:c>
      <x:c r="B2" s="208" t="n">
        <x:v>1</x:v>
      </x:c>
      <x:c r="C2" s="211" t="n">
        <x:v>41.67</x:v>
      </x:c>
      <x:c r="D2" s="214" t="n">
        <x:v>41.67</x:v>
      </x:c>
      <x:c r="E2" s="217" t="n">
        <x:v>0.09699999999999999</x:v>
      </x:c>
      <x:c r="F2" s="179" t="str">
        <x:v>WHO cheapest-brand price snapshot; not sales-weighted</x:v>
      </x:c>
      <x:c r="G2" s="179" t="str">
        <x:v>B</x:v>
      </x:c>
      <x:c r="H2" s="179" t="n">
        <x:v>9</x:v>
      </x:c>
      <x:c r="I2" s="180" t="str">
        <x:v>https://cdn.who.int/media/docs/default-source/country-profiles/tobacco/gtrc-2025/tobacco-2025-swe.pdf</x:v>
      </x:c>
    </x:row>
    <x:row r="3" ht="97.19999694824219" hidden="0" customHeight="1">
      <x:c r="A3" s="181" t="str">
        <x:v>closed_system_disposable</x:v>
      </x:c>
      <x:c r="B3" s="209" t="n">
        <x:v>1</x:v>
      </x:c>
      <x:c r="C3" s="212" t="n">
        <x:v>34.5</x:v>
      </x:c>
      <x:c r="D3" s="215" t="n">
        <x:v>34.5</x:v>
      </x:c>
      <x:c r="E3" s="218" t="n">
        <x:v>0.11710000000000001</x:v>
      </x:c>
      <x:c r="F3" s="182" t="str">
        <x:v>WHO cheapest-brand price snapshot; not sales-weighted</x:v>
      </x:c>
      <x:c r="G3" s="182" t="str">
        <x:v>B</x:v>
      </x:c>
      <x:c r="H3" s="182" t="n">
        <x:v>9</x:v>
      </x:c>
      <x:c r="I3" s="183" t="str">
        <x:v>https://cdn.who.int/media/docs/default-source/country-profiles/tobacco/gtrc-2025/tobacco-2025-swe.pdf</x:v>
      </x:c>
    </x:row>
    <x:row r="4" ht="97.19999694824219" hidden="0" customHeight="1">
      <x:c r="A4" s="184" t="str">
        <x:v>open_system_e_liquid</x:v>
      </x:c>
      <x:c r="B4" s="210" t="n">
        <x:v>10</x:v>
      </x:c>
      <x:c r="C4" s="213" t="n">
        <x:v>69</x:v>
      </x:c>
      <x:c r="D4" s="216" t="n">
        <x:v>6.9</x:v>
      </x:c>
      <x:c r="E4" s="219" t="n">
        <x:v>0.2928</x:v>
      </x:c>
      <x:c r="F4" s="185" t="str">
        <x:v>WHO cheapest-brand 10ml price snapshot; used only as a transparent sensitivity anchor</x:v>
      </x:c>
      <x:c r="G4" s="185" t="str">
        <x:v>B</x:v>
      </x:c>
      <x:c r="H4" s="185" t="n">
        <x:v>9</x:v>
      </x:c>
      <x:c r="I4" s="186" t="str">
        <x:v>https://cdn.who.int/media/docs/default-source/country-profiles/tobacco/gtrc-2025/tobacco-2025-swe.pdf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54" hidden="0" customWidth="1"/>
    <x:col min="10" max="10" width="54" hidden="0" customWidth="1"/>
    <x:col min="11" max="11" width="54" hidden="0" customWidth="1"/>
  </x:cols>
  <x:sheetData>
    <x:row r="1" ht="66" hidden="0" customHeight="1">
      <x:c r="A1" s="156" t="str">
        <x:v>scenario</x:v>
      </x:c>
      <x:c r="B1" s="157" t="str">
        <x:v>price_factor</x:v>
      </x:c>
      <x:c r="C1" s="157" t="str">
        <x:v>price_sek_per_10ml</x:v>
      </x:c>
      <x:c r="D1" s="157" t="str">
        <x:v>official_2024_taxed_volume_litres</x:v>
      </x:c>
      <x:c r="E1" s="157" t="str">
        <x:v>ten_ml_equivalents</x:v>
      </x:c>
      <x:c r="F1" s="157" t="str">
        <x:v>mechanical_gross_retail_value_sek</x:v>
      </x:c>
      <x:c r="G1" s="157" t="str">
        <x:v>official_displayed_tax_revenue_sek</x:v>
      </x:c>
      <x:c r="H1" s="157" t="str">
        <x:v>tax_revenue_share_of_mechanical_value_pct</x:v>
      </x:c>
      <x:c r="I1" s="157" t="str">
        <x:v>source_tier</x:v>
      </x:c>
      <x:c r="J1" s="157" t="str">
        <x:v>boundary</x:v>
      </x:c>
      <x:c r="K1" s="158" t="str">
        <x:v>source_url</x:v>
      </x:c>
    </x:row>
    <x:row r="2" ht="129.60000610351562" hidden="0" customHeight="1">
      <x:c r="A2" s="178" t="str">
        <x:v>downside_minus_20_pct</x:v>
      </x:c>
      <x:c r="B2" s="220" t="n">
        <x:v>0.8</x:v>
      </x:c>
      <x:c r="C2" s="223" t="n">
        <x:v>55.2</x:v>
      </x:c>
      <x:c r="D2" s="226" t="n">
        <x:v>26000</x:v>
      </x:c>
      <x:c r="E2" s="226" t="n">
        <x:v>2600000</x:v>
      </x:c>
      <x:c r="F2" s="199" t="n">
        <x:v>143520000</x:v>
      </x:c>
      <x:c r="G2" s="199" t="n">
        <x:v>80000000</x:v>
      </x:c>
      <x:c r="H2" s="205" t="n">
        <x:v>0.5574136</x:v>
      </x:c>
      <x:c r="I2" s="179" t="str">
        <x:v>A volume plus B price</x:v>
      </x:c>
      <x:c r="J2" s="179" t="str">
        <x:v>sensitivity only; not an official market-size estimate; excludes devices, nicotine-free liquids, illegal flows and product/channel mix</x:v>
      </x:c>
      <x:c r="K2" s="180" t="str">
        <x:v>https://cdn.who.int/media/docs/default-source/country-profiles/tobacco/gtrc-2025/tobacco-2025-swe.pdf</x:v>
      </x:c>
    </x:row>
    <x:row r="3" ht="129.60000610351562" hidden="0" customHeight="1">
      <x:c r="A3" s="181" t="str">
        <x:v>baseline_who_open_system</x:v>
      </x:c>
      <x:c r="B3" s="221" t="n">
        <x:v>1</x:v>
      </x:c>
      <x:c r="C3" s="224" t="n">
        <x:v>69</x:v>
      </x:c>
      <x:c r="D3" s="227" t="n">
        <x:v>26000</x:v>
      </x:c>
      <x:c r="E3" s="227" t="n">
        <x:v>2600000</x:v>
      </x:c>
      <x:c r="F3" s="200" t="n">
        <x:v>179400000</x:v>
      </x:c>
      <x:c r="G3" s="200" t="n">
        <x:v>80000000</x:v>
      </x:c>
      <x:c r="H3" s="206" t="n">
        <x:v>0.44593088000000003</x:v>
      </x:c>
      <x:c r="I3" s="182" t="str">
        <x:v>A volume plus B price</x:v>
      </x:c>
      <x:c r="J3" s="182" t="str">
        <x:v>sensitivity only; not an official market-size estimate; excludes devices, nicotine-free liquids, illegal flows and product/channel mix</x:v>
      </x:c>
      <x:c r="K3" s="183" t="str">
        <x:v>https://cdn.who.int/media/docs/default-source/country-profiles/tobacco/gtrc-2025/tobacco-2025-swe.pdf</x:v>
      </x:c>
    </x:row>
    <x:row r="4" ht="129.60000610351562" hidden="0" customHeight="1">
      <x:c r="A4" s="184" t="str">
        <x:v>upside_plus_20_pct</x:v>
      </x:c>
      <x:c r="B4" s="222" t="n">
        <x:v>1.2</x:v>
      </x:c>
      <x:c r="C4" s="225" t="n">
        <x:v>82.8</x:v>
      </x:c>
      <x:c r="D4" s="228" t="n">
        <x:v>26000</x:v>
      </x:c>
      <x:c r="E4" s="228" t="n">
        <x:v>2600000</x:v>
      </x:c>
      <x:c r="F4" s="201" t="n">
        <x:v>215280000</x:v>
      </x:c>
      <x:c r="G4" s="201" t="n">
        <x:v>80000000</x:v>
      </x:c>
      <x:c r="H4" s="207" t="n">
        <x:v>0.37160907000000004</x:v>
      </x:c>
      <x:c r="I4" s="185" t="str">
        <x:v>A volume plus B price</x:v>
      </x:c>
      <x:c r="J4" s="185" t="str">
        <x:v>sensitivity only; not an official market-size estimate; excludes devices, nicotine-free liquids, illegal flows and product/channel mix</x:v>
      </x:c>
      <x:c r="K4" s="186" t="str">
        <x:v>https://cdn.who.int/media/docs/default-source/country-profiles/tobacco/gtrc-2025/tobacco-2025-swe.pdf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58" hidden="0" customWidth="1"/>
    <x:col min="16" max="16" width="58" hidden="0" customWidth="1"/>
    <x:col min="17" max="17" width="58" hidden="0" customWidth="1"/>
    <x:col min="18" max="18" width="58" hidden="0" customWidth="1"/>
  </x:cols>
  <x:sheetData>
    <x:row r="1" ht="39.599998474121094" hidden="0" customHeight="1">
      <x:c r="A1" s="156" t="str">
        <x:v>period</x:v>
      </x:c>
      <x:c r="B1" s="157" t="str">
        <x:v>scope</x:v>
      </x:c>
      <x:c r="C1" s="157" t="str">
        <x:v>scope_label</x:v>
      </x:c>
      <x:c r="D1" s="157" t="str">
        <x:v>products</x:v>
      </x:c>
      <x:c r="E1" s="157" t="str">
        <x:v>world_import_value_eur</x:v>
      </x:c>
      <x:c r="F1" s="157" t="str">
        <x:v>world_export_value_eur</x:v>
      </x:c>
      <x:c r="G1" s="157" t="str">
        <x:v>border_net_import_value_eur</x:v>
      </x:c>
      <x:c r="H1" s="157" t="str">
        <x:v>intra_eu_import_value_eur</x:v>
      </x:c>
      <x:c r="I1" s="157" t="str">
        <x:v>extra_eu_import_value_eur</x:v>
      </x:c>
      <x:c r="J1" s="157" t="str">
        <x:v>extra_eu_import_share_pct</x:v>
      </x:c>
      <x:c r="K1" s="157" t="str">
        <x:v>intra_eu_export_value_eur</x:v>
      </x:c>
      <x:c r="L1" s="157" t="str">
        <x:v>extra_eu_export_value_eur</x:v>
      </x:c>
      <x:c r="M1" s="157" t="str">
        <x:v>import_route_gap_eur</x:v>
      </x:c>
      <x:c r="N1" s="157" t="str">
        <x:v>export_route_gap_eur</x:v>
      </x:c>
      <x:c r="O1" s="157" t="str">
        <x:v>evidence_status</x:v>
      </x:c>
      <x:c r="P1" s="157" t="str">
        <x:v>interpretation</x:v>
      </x:c>
      <x:c r="Q1" s="157" t="str">
        <x:v>source_url</x:v>
      </x:c>
      <x:c r="R1" s="158" t="str">
        <x:v>method_url</x:v>
      </x:c>
    </x:row>
    <x:row r="2" ht="356.3999938964844" hidden="0" customHeight="1">
      <x:c r="A2" s="178" t="n">
        <x:v>2025</x:v>
      </x:c>
      <x:c r="B2" s="179" t="str">
        <x:v>85434000</x:v>
      </x:c>
      <x:c r="C2" s="179" t="str">
        <x:v>core_devices</x:v>
      </x:c>
      <x:c r="D2" s="179" t="str">
        <x:v>85434000</x:v>
      </x:c>
      <x:c r="E2" s="229" t="n">
        <x:v>2317223</x:v>
      </x:c>
      <x:c r="F2" s="229" t="n">
        <x:v>239091</x:v>
      </x:c>
      <x:c r="G2" s="229" t="n">
        <x:v>2078132</x:v>
      </x:c>
      <x:c r="H2" s="229" t="n">
        <x:v>827467</x:v>
      </x:c>
      <x:c r="I2" s="229" t="n">
        <x:v>1489756</x:v>
      </x:c>
      <x:c r="J2" s="232" t="n">
        <x:v>0.64290575</x:v>
      </x:c>
      <x:c r="K2" s="229" t="n">
        <x:v>76</x:v>
      </x:c>
      <x:c r="L2" s="229" t="n">
        <x:v>239015</x:v>
      </x:c>
      <x:c r="M2" s="229" t="n">
        <x:v>0</x:v>
      </x:c>
      <x:c r="N2" s="229" t="n">
        <x:v>0</x:v>
      </x:c>
      <x:c r="O2" s="179" t="str">
        <x:v>official_customs_statistics_not_consumer_sales</x:v>
      </x:c>
      <x:c r="P2" s="179" t="str">
        <x:v>WORLD equals intra-EU arrivals/dispatches plus extra-EU imports/exports, subject to revisions and confidentiality</x:v>
      </x:c>
      <x:c r="Q2" s="179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2" s="180" t="str">
        <x:v>https://ec.europa.eu/eurostat/cache/metadata/en/ext_go_detail_sims.htm</x:v>
      </x:c>
    </x:row>
    <x:row r="3" ht="356.3999938964844" hidden="0" customHeight="1">
      <x:c r="A3" s="181" t="n">
        <x:v>2025</x:v>
      </x:c>
      <x:c r="B3" s="182" t="str">
        <x:v>24041200</x:v>
      </x:c>
      <x:c r="C3" s="182" t="str">
        <x:v>nicotine_inhalation_products</x:v>
      </x:c>
      <x:c r="D3" s="182" t="str">
        <x:v>24041200</x:v>
      </x:c>
      <x:c r="E3" s="230" t="n">
        <x:v>47710431</x:v>
      </x:c>
      <x:c r="F3" s="230" t="n">
        <x:v>1177909</x:v>
      </x:c>
      <x:c r="G3" s="230" t="n">
        <x:v>46532522</x:v>
      </x:c>
      <x:c r="H3" s="230" t="n">
        <x:v>11421403</x:v>
      </x:c>
      <x:c r="I3" s="230" t="n">
        <x:v>36289028</x:v>
      </x:c>
      <x:c r="J3" s="233" t="n">
        <x:v>0.7606099399999999</x:v>
      </x:c>
      <x:c r="K3" s="230" t="n">
        <x:v>783586</x:v>
      </x:c>
      <x:c r="L3" s="230" t="n">
        <x:v>394323</x:v>
      </x:c>
      <x:c r="M3" s="230" t="n">
        <x:v>0</x:v>
      </x:c>
      <x:c r="N3" s="230" t="n">
        <x:v>0</x:v>
      </x:c>
      <x:c r="O3" s="182" t="str">
        <x:v>official_customs_statistics_not_consumer_sales</x:v>
      </x:c>
      <x:c r="P3" s="182" t="str">
        <x:v>WORLD equals intra-EU arrivals/dispatches plus extra-EU imports/exports, subject to revisions and confidentiality</x:v>
      </x:c>
      <x:c r="Q3" s="182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3" s="183" t="str">
        <x:v>https://ec.europa.eu/eurostat/cache/metadata/en/ext_go_detail_sims.htm</x:v>
      </x:c>
    </x:row>
    <x:row r="4" ht="356.3999938964844" hidden="0" customHeight="1">
      <x:c r="A4" s="181" t="n">
        <x:v>2025</x:v>
      </x:c>
      <x:c r="B4" s="182" t="str">
        <x:v>24041910</x:v>
      </x:c>
      <x:c r="C4" s="182" t="str">
        <x:v>nicotine_free_tobacco_substitute_inhalation_proxy</x:v>
      </x:c>
      <x:c r="D4" s="182" t="str">
        <x:v>24041910</x:v>
      </x:c>
      <x:c r="E4" s="230" t="n">
        <x:v>116</x:v>
      </x:c>
      <x:c r="F4" s="230" t="n">
        <x:v>739</x:v>
      </x:c>
      <x:c r="G4" s="230" t="n">
        <x:v>-623</x:v>
      </x:c>
      <x:c r="H4" s="230" t="n">
        <x:v>0</x:v>
      </x:c>
      <x:c r="I4" s="230" t="n">
        <x:v>116</x:v>
      </x:c>
      <x:c r="J4" s="233" t="n">
        <x:v>1</x:v>
      </x:c>
      <x:c r="K4" s="230" t="n">
        <x:v>0</x:v>
      </x:c>
      <x:c r="L4" s="230" t="n">
        <x:v>739</x:v>
      </x:c>
      <x:c r="M4" s="230" t="n">
        <x:v>0</x:v>
      </x:c>
      <x:c r="N4" s="230" t="n">
        <x:v>0</x:v>
      </x:c>
      <x:c r="O4" s="182" t="str">
        <x:v>official_customs_statistics_not_consumer_sales</x:v>
      </x:c>
      <x:c r="P4" s="182" t="str">
        <x:v>WORLD equals intra-EU arrivals/dispatches plus extra-EU imports/exports, subject to revisions and confidentiality</x:v>
      </x:c>
      <x:c r="Q4" s="182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4" s="183" t="str">
        <x:v>https://ec.europa.eu/eurostat/cache/metadata/en/ext_go_detail_sims.htm</x:v>
      </x:c>
    </x:row>
    <x:row r="5" ht="356.3999938964844" hidden="0" customHeight="1">
      <x:c r="A5" s="181" t="n">
        <x:v>2025</x:v>
      </x:c>
      <x:c r="B5" s="182" t="str">
        <x:v>24041990</x:v>
      </x:c>
      <x:c r="C5" s="182" t="str">
        <x:v>other_substitute_inhalation_proxy</x:v>
      </x:c>
      <x:c r="D5" s="182" t="str">
        <x:v>24041990</x:v>
      </x:c>
      <x:c r="E5" s="230" t="n">
        <x:v>1020528</x:v>
      </x:c>
      <x:c r="F5" s="230" t="n">
        <x:v>67268</x:v>
      </x:c>
      <x:c r="G5" s="230" t="n">
        <x:v>953260</x:v>
      </x:c>
      <x:c r="H5" s="230" t="n">
        <x:v>0</x:v>
      </x:c>
      <x:c r="I5" s="230" t="n">
        <x:v>1020528</x:v>
      </x:c>
      <x:c r="J5" s="233" t="n">
        <x:v>1</x:v>
      </x:c>
      <x:c r="K5" s="230" t="n">
        <x:v>0</x:v>
      </x:c>
      <x:c r="L5" s="230" t="n">
        <x:v>67268</x:v>
      </x:c>
      <x:c r="M5" s="230" t="n">
        <x:v>0</x:v>
      </x:c>
      <x:c r="N5" s="230" t="n">
        <x:v>0</x:v>
      </x:c>
      <x:c r="O5" s="182" t="str">
        <x:v>official_customs_statistics_not_consumer_sales</x:v>
      </x:c>
      <x:c r="P5" s="182" t="str">
        <x:v>WORLD equals intra-EU arrivals/dispatches plus extra-EU imports/exports, subject to revisions and confidentiality</x:v>
      </x:c>
      <x:c r="Q5" s="182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5" s="183" t="str">
        <x:v>https://ec.europa.eu/eurostat/cache/metadata/en/ext_go_detail_sims.htm</x:v>
      </x:c>
    </x:row>
    <x:row r="6" ht="356.3999938964844" hidden="0" customHeight="1">
      <x:c r="A6" s="181" t="n">
        <x:v>2025</x:v>
      </x:c>
      <x:c r="B6" s="182" t="str">
        <x:v>narrow_patent_scope_proxy</x:v>
      </x:c>
      <x:c r="C6" s="182" t="str">
        <x:v>narrow patent scope proxy</x:v>
      </x:c>
      <x:c r="D6" s="182" t="str">
        <x:v>85434000+24041200</x:v>
      </x:c>
      <x:c r="E6" s="230" t="n">
        <x:v>50027654</x:v>
      </x:c>
      <x:c r="F6" s="230" t="n">
        <x:v>1417000</x:v>
      </x:c>
      <x:c r="G6" s="230" t="n">
        <x:v>48610654</x:v>
      </x:c>
      <x:c r="H6" s="230" t="n">
        <x:v>12248870</x:v>
      </x:c>
      <x:c r="I6" s="230" t="n">
        <x:v>37778784</x:v>
      </x:c>
      <x:c r="J6" s="233" t="n">
        <x:v>0.75515802</x:v>
      </x:c>
      <x:c r="K6" s="230" t="n">
        <x:v>783662</x:v>
      </x:c>
      <x:c r="L6" s="230" t="n">
        <x:v>633338</x:v>
      </x:c>
      <x:c r="M6" s="230" t="n">
        <x:v>0</x:v>
      </x:c>
      <x:c r="N6" s="230" t="n">
        <x:v>0</x:v>
      </x:c>
      <x:c r="O6" s="182" t="str">
        <x:v>official_customs_statistics_not_consumer_sales</x:v>
      </x:c>
      <x:c r="P6" s="182" t="str">
        <x:v>WORLD equals intra-EU arrivals/dispatches plus extra-EU imports/exports, subject to revisions and confidentiality</x:v>
      </x:c>
      <x:c r="Q6" s="182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6" s="183" t="str">
        <x:v>https://ec.europa.eu/eurostat/cache/metadata/en/ext_go_detail_sims.htm</x:v>
      </x:c>
    </x:row>
    <x:row r="7" ht="356.3999938964844" hidden="0" customHeight="1">
      <x:c r="A7" s="184" t="n">
        <x:v>2025</x:v>
      </x:c>
      <x:c r="B7" s="185" t="str">
        <x:v>broad_inhalation_proxy</x:v>
      </x:c>
      <x:c r="C7" s="185" t="str">
        <x:v>broad inhalation proxy</x:v>
      </x:c>
      <x:c r="D7" s="185" t="str">
        <x:v>85434000+24041200+24041910+24041990</x:v>
      </x:c>
      <x:c r="E7" s="231" t="n">
        <x:v>51048298</x:v>
      </x:c>
      <x:c r="F7" s="231" t="n">
        <x:v>1485007</x:v>
      </x:c>
      <x:c r="G7" s="231" t="n">
        <x:v>49563291</x:v>
      </x:c>
      <x:c r="H7" s="231" t="n">
        <x:v>12248870</x:v>
      </x:c>
      <x:c r="I7" s="231" t="n">
        <x:v>38799428</x:v>
      </x:c>
      <x:c r="J7" s="234" t="n">
        <x:v>0.76005331</x:v>
      </x:c>
      <x:c r="K7" s="231" t="n">
        <x:v>783662</x:v>
      </x:c>
      <x:c r="L7" s="231" t="n">
        <x:v>701345</x:v>
      </x:c>
      <x:c r="M7" s="231" t="n">
        <x:v>0</x:v>
      </x:c>
      <x:c r="N7" s="231" t="n">
        <x:v>0</x:v>
      </x:c>
      <x:c r="O7" s="185" t="str">
        <x:v>official_customs_statistics_not_consumer_sales</x:v>
      </x:c>
      <x:c r="P7" s="185" t="str">
        <x:v>WORLD equals intra-EU arrivals/dispatches plus extra-EU imports/exports, subject to revisions and confidentiality</x:v>
      </x:c>
      <x:c r="Q7" s="185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R7" s="186" t="str">
        <x:v>https://ec.europa.eu/eurostat/cache/metadata/en/ext_go_detail_sims.htm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58" hidden="0" customWidth="1"/>
    <x:col min="12" max="12" width="58" hidden="0" customWidth="1"/>
  </x:cols>
  <x:sheetData>
    <x:row r="1" ht="52.79999923706055" hidden="0" customHeight="1">
      <x:c r="A1" s="156" t="str">
        <x:v>period</x:v>
      </x:c>
      <x:c r="B1" s="157" t="str">
        <x:v>scope</x:v>
      </x:c>
      <x:c r="C1" s="157" t="str">
        <x:v>products</x:v>
      </x:c>
      <x:c r="D1" s="157" t="str">
        <x:v>flow</x:v>
      </x:c>
      <x:c r="E1" s="157" t="str">
        <x:v>rank</x:v>
      </x:c>
      <x:c r="F1" s="157" t="str">
        <x:v>partner</x:v>
      </x:c>
      <x:c r="G1" s="157" t="str">
        <x:v>partner_label</x:v>
      </x:c>
      <x:c r="H1" s="157" t="str">
        <x:v>partner_basis</x:v>
      </x:c>
      <x:c r="I1" s="157" t="str">
        <x:v>value_eur</x:v>
      </x:c>
      <x:c r="J1" s="157" t="str">
        <x:v>share_of_country_partner_rows_pct</x:v>
      </x:c>
      <x:c r="K1" s="157" t="str">
        <x:v>method_note</x:v>
      </x:c>
      <x:c r="L1" s="158" t="str">
        <x:v>source_url</x:v>
      </x:c>
    </x:row>
    <x:row r="2" ht="226.8000030517578" hidden="0" customHeight="1">
      <x:c r="A2" s="178" t="n">
        <x:v>2025</x:v>
      </x:c>
      <x:c r="B2" s="179" t="str">
        <x:v>narrow_patent_scope_proxy</x:v>
      </x:c>
      <x:c r="C2" s="179" t="str">
        <x:v>85434000+24041200</x:v>
      </x:c>
      <x:c r="D2" s="179" t="str">
        <x:v>import</x:v>
      </x:c>
      <x:c r="E2" s="179" t="n">
        <x:v>1</x:v>
      </x:c>
      <x:c r="F2" s="179" t="str">
        <x:v>CN</x:v>
      </x:c>
      <x:c r="G2" s="179" t="str">
        <x:v>China</x:v>
      </x:c>
      <x:c r="H2" s="179" t="str">
        <x:v>extra-EU country of origin</x:v>
      </x:c>
      <x:c r="I2" s="229" t="n">
        <x:v>37144948</x:v>
      </x:c>
      <x:c r="J2" s="232" t="n">
        <x:v>0.7424883</x:v>
      </x:c>
      <x:c r="K2" s="179" t="str">
        <x:v>intra-EU import partner is consignment country, not necessarily origin; export partner is destination</x:v>
      </x:c>
      <x:c r="L2" s="180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" ht="226.8000030517578" hidden="0" customHeight="1">
      <x:c r="A3" s="181" t="n">
        <x:v>2025</x:v>
      </x:c>
      <x:c r="B3" s="182" t="str">
        <x:v>narrow_patent_scope_proxy</x:v>
      </x:c>
      <x:c r="C3" s="182" t="str">
        <x:v>85434000+24041200</x:v>
      </x:c>
      <x:c r="D3" s="182" t="str">
        <x:v>import</x:v>
      </x:c>
      <x:c r="E3" s="182" t="n">
        <x:v>2</x:v>
      </x:c>
      <x:c r="F3" s="182" t="str">
        <x:v>PL</x:v>
      </x:c>
      <x:c r="G3" s="182" t="str">
        <x:v>Poland</x:v>
      </x:c>
      <x:c r="H3" s="182" t="str">
        <x:v>intra-EU country of consignment</x:v>
      </x:c>
      <x:c r="I3" s="230" t="n">
        <x:v>3614941</x:v>
      </x:c>
      <x:c r="J3" s="233" t="n">
        <x:v>0.07225886</x:v>
      </x:c>
      <x:c r="K3" s="182" t="str">
        <x:v>intra-EU import partner is consignment country, not necessarily origin; export partner is destination</x:v>
      </x:c>
      <x:c r="L3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4" ht="226.8000030517578" hidden="0" customHeight="1">
      <x:c r="A4" s="181" t="n">
        <x:v>2025</x:v>
      </x:c>
      <x:c r="B4" s="182" t="str">
        <x:v>narrow_patent_scope_proxy</x:v>
      </x:c>
      <x:c r="C4" s="182" t="str">
        <x:v>85434000+24041200</x:v>
      </x:c>
      <x:c r="D4" s="182" t="str">
        <x:v>import</x:v>
      </x:c>
      <x:c r="E4" s="182" t="n">
        <x:v>3</x:v>
      </x:c>
      <x:c r="F4" s="182" t="str">
        <x:v>BE</x:v>
      </x:c>
      <x:c r="G4" s="182" t="str">
        <x:v>Belgium (incl. Luxembourg 'LU' -&gt; 1998)</x:v>
      </x:c>
      <x:c r="H4" s="182" t="str">
        <x:v>intra-EU country of consignment</x:v>
      </x:c>
      <x:c r="I4" s="230" t="n">
        <x:v>3413476</x:v>
      </x:c>
      <x:c r="J4" s="233" t="n">
        <x:v>0.06823178</x:v>
      </x:c>
      <x:c r="K4" s="182" t="str">
        <x:v>intra-EU import partner is consignment country, not necessarily origin; export partner is destination</x:v>
      </x:c>
      <x:c r="L4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5" ht="226.8000030517578" hidden="0" customHeight="1">
      <x:c r="A5" s="181" t="n">
        <x:v>2025</x:v>
      </x:c>
      <x:c r="B5" s="182" t="str">
        <x:v>narrow_patent_scope_proxy</x:v>
      </x:c>
      <x:c r="C5" s="182" t="str">
        <x:v>85434000+24041200</x:v>
      </x:c>
      <x:c r="D5" s="182" t="str">
        <x:v>import</x:v>
      </x:c>
      <x:c r="E5" s="182" t="n">
        <x:v>4</x:v>
      </x:c>
      <x:c r="F5" s="182" t="str">
        <x:v>DE</x:v>
      </x:c>
      <x:c r="G5" s="182" t="str">
        <x:v>Germany (incl. German Democratic Republic 'DD' from 1991)</x:v>
      </x:c>
      <x:c r="H5" s="182" t="str">
        <x:v>intra-EU country of consignment</x:v>
      </x:c>
      <x:c r="I5" s="230" t="n">
        <x:v>2240822</x:v>
      </x:c>
      <x:c r="J5" s="233" t="n">
        <x:v>0.044791670000000006</x:v>
      </x:c>
      <x:c r="K5" s="182" t="str">
        <x:v>intra-EU import partner is consignment country, not necessarily origin; export partner is destination</x:v>
      </x:c>
      <x:c r="L5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6" ht="226.8000030517578" hidden="0" customHeight="1">
      <x:c r="A6" s="181" t="n">
        <x:v>2025</x:v>
      </x:c>
      <x:c r="B6" s="182" t="str">
        <x:v>narrow_patent_scope_proxy</x:v>
      </x:c>
      <x:c r="C6" s="182" t="str">
        <x:v>85434000+24041200</x:v>
      </x:c>
      <x:c r="D6" s="182" t="str">
        <x:v>import</x:v>
      </x:c>
      <x:c r="E6" s="182" t="n">
        <x:v>5</x:v>
      </x:c>
      <x:c r="F6" s="182" t="str">
        <x:v>NL</x:v>
      </x:c>
      <x:c r="G6" s="182" t="str">
        <x:v>Netherlands</x:v>
      </x:c>
      <x:c r="H6" s="182" t="str">
        <x:v>intra-EU country of consignment</x:v>
      </x:c>
      <x:c r="I6" s="230" t="n">
        <x:v>1959810</x:v>
      </x:c>
      <x:c r="J6" s="233" t="n">
        <x:v>0.03917453</x:v>
      </x:c>
      <x:c r="K6" s="182" t="str">
        <x:v>intra-EU import partner is consignment country, not necessarily origin; export partner is destination</x:v>
      </x:c>
      <x:c r="L6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7" ht="226.8000030517578" hidden="0" customHeight="1">
      <x:c r="A7" s="181" t="n">
        <x:v>2025</x:v>
      </x:c>
      <x:c r="B7" s="182" t="str">
        <x:v>narrow_patent_scope_proxy</x:v>
      </x:c>
      <x:c r="C7" s="182" t="str">
        <x:v>85434000+24041200</x:v>
      </x:c>
      <x:c r="D7" s="182" t="str">
        <x:v>import</x:v>
      </x:c>
      <x:c r="E7" s="182" t="n">
        <x:v>6</x:v>
      </x:c>
      <x:c r="F7" s="182" t="str">
        <x:v>HR</x:v>
      </x:c>
      <x:c r="G7" s="182" t="str">
        <x:v>Croatia</x:v>
      </x:c>
      <x:c r="H7" s="182" t="str">
        <x:v>intra-EU country of consignment</x:v>
      </x:c>
      <x:c r="I7" s="230" t="n">
        <x:v>989563</x:v>
      </x:c>
      <x:c r="J7" s="233" t="n">
        <x:v>0.01978032</x:v>
      </x:c>
      <x:c r="K7" s="182" t="str">
        <x:v>intra-EU import partner is consignment country, not necessarily origin; export partner is destination</x:v>
      </x:c>
      <x:c r="L7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8" ht="226.8000030517578" hidden="0" customHeight="1">
      <x:c r="A8" s="181" t="n">
        <x:v>2025</x:v>
      </x:c>
      <x:c r="B8" s="182" t="str">
        <x:v>narrow_patent_scope_proxy</x:v>
      </x:c>
      <x:c r="C8" s="182" t="str">
        <x:v>85434000+24041200</x:v>
      </x:c>
      <x:c r="D8" s="182" t="str">
        <x:v>import</x:v>
      </x:c>
      <x:c r="E8" s="182" t="n">
        <x:v>7</x:v>
      </x:c>
      <x:c r="F8" s="182" t="str">
        <x:v>HK</x:v>
      </x:c>
      <x:c r="G8" s="182" t="str">
        <x:v>Hong Kong</x:v>
      </x:c>
      <x:c r="H8" s="182" t="str">
        <x:v>extra-EU country of origin</x:v>
      </x:c>
      <x:c r="I8" s="230" t="n">
        <x:v>312223</x:v>
      </x:c>
      <x:c r="J8" s="233" t="n">
        <x:v>0.00624101</x:v>
      </x:c>
      <x:c r="K8" s="182" t="str">
        <x:v>intra-EU import partner is consignment country, not necessarily origin; export partner is destination</x:v>
      </x:c>
      <x:c r="L8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9" ht="226.8000030517578" hidden="0" customHeight="1">
      <x:c r="A9" s="181" t="n">
        <x:v>2025</x:v>
      </x:c>
      <x:c r="B9" s="182" t="str">
        <x:v>narrow_patent_scope_proxy</x:v>
      </x:c>
      <x:c r="C9" s="182" t="str">
        <x:v>85434000+24041200</x:v>
      </x:c>
      <x:c r="D9" s="182" t="str">
        <x:v>import</x:v>
      </x:c>
      <x:c r="E9" s="182" t="n">
        <x:v>8</x:v>
      </x:c>
      <x:c r="F9" s="182" t="str">
        <x:v>GB</x:v>
      </x:c>
      <x:c r="G9" s="182" t="str">
        <x:v>United Kingdom</x:v>
      </x:c>
      <x:c r="H9" s="182" t="str">
        <x:v>extra-EU country of origin</x:v>
      </x:c>
      <x:c r="I9" s="230" t="n">
        <x:v>194312</x:v>
      </x:c>
      <x:c r="J9" s="233" t="n">
        <x:v>0.00388409</x:v>
      </x:c>
      <x:c r="K9" s="182" t="str">
        <x:v>intra-EU import partner is consignment country, not necessarily origin; export partner is destination</x:v>
      </x:c>
      <x:c r="L9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0" ht="226.8000030517578" hidden="0" customHeight="1">
      <x:c r="A10" s="181" t="n">
        <x:v>2025</x:v>
      </x:c>
      <x:c r="B10" s="182" t="str">
        <x:v>narrow_patent_scope_proxy</x:v>
      </x:c>
      <x:c r="C10" s="182" t="str">
        <x:v>85434000+24041200</x:v>
      </x:c>
      <x:c r="D10" s="182" t="str">
        <x:v>import</x:v>
      </x:c>
      <x:c r="E10" s="182" t="n">
        <x:v>9</x:v>
      </x:c>
      <x:c r="F10" s="182" t="str">
        <x:v>KR</x:v>
      </x:c>
      <x:c r="G10" s="182" t="str">
        <x:v>Korea, Republic of (South Korea)</x:v>
      </x:c>
      <x:c r="H10" s="182" t="str">
        <x:v>extra-EU country of origin</x:v>
      </x:c>
      <x:c r="I10" s="230" t="n">
        <x:v>79804</x:v>
      </x:c>
      <x:c r="J10" s="233" t="n">
        <x:v>0.0015952</x:v>
      </x:c>
      <x:c r="K10" s="182" t="str">
        <x:v>intra-EU import partner is consignment country, not necessarily origin; export partner is destination</x:v>
      </x:c>
      <x:c r="L10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1" ht="226.8000030517578" hidden="0" customHeight="1">
      <x:c r="A11" s="181" t="n">
        <x:v>2025</x:v>
      </x:c>
      <x:c r="B11" s="182" t="str">
        <x:v>narrow_patent_scope_proxy</x:v>
      </x:c>
      <x:c r="C11" s="182" t="str">
        <x:v>85434000+24041200</x:v>
      </x:c>
      <x:c r="D11" s="182" t="str">
        <x:v>import</x:v>
      </x:c>
      <x:c r="E11" s="182" t="n">
        <x:v>10</x:v>
      </x:c>
      <x:c r="F11" s="182" t="str">
        <x:v>IT</x:v>
      </x:c>
      <x:c r="G11" s="182" t="str">
        <x:v>Italy (incl. San Marino 'SM' -&gt; 1993)</x:v>
      </x:c>
      <x:c r="H11" s="182" t="str">
        <x:v>intra-EU country of consignment</x:v>
      </x:c>
      <x:c r="I11" s="230" t="n">
        <x:v>25402</x:v>
      </x:c>
      <x:c r="J11" s="233" t="n">
        <x:v>0.00050776</x:v>
      </x:c>
      <x:c r="K11" s="182" t="str">
        <x:v>intra-EU import partner is consignment country, not necessarily origin; export partner is destination</x:v>
      </x:c>
      <x:c r="L11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2" ht="226.8000030517578" hidden="0" customHeight="1">
      <x:c r="A12" s="181" t="n">
        <x:v>2025</x:v>
      </x:c>
      <x:c r="B12" s="182" t="str">
        <x:v>narrow_patent_scope_proxy</x:v>
      </x:c>
      <x:c r="C12" s="182" t="str">
        <x:v>85434000+24041200</x:v>
      </x:c>
      <x:c r="D12" s="182" t="str">
        <x:v>export</x:v>
      </x:c>
      <x:c r="E12" s="182" t="n">
        <x:v>1</x:v>
      </x:c>
      <x:c r="F12" s="182" t="str">
        <x:v>US</x:v>
      </x:c>
      <x:c r="G12" s="182" t="str">
        <x:v>United States (incl. Navassa Island (part of 'UM') from 1995 -&gt; 2000)</x:v>
      </x:c>
      <x:c r="H12" s="182" t="str">
        <x:v>country of destination</x:v>
      </x:c>
      <x:c r="I12" s="230" t="n">
        <x:v>269981</x:v>
      </x:c>
      <x:c r="J12" s="233" t="n">
        <x:v>0.19052999</x:v>
      </x:c>
      <x:c r="K12" s="182" t="str">
        <x:v>intra-EU import partner is consignment country, not necessarily origin; export partner is destination</x:v>
      </x:c>
      <x:c r="L12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3" ht="226.8000030517578" hidden="0" customHeight="1">
      <x:c r="A13" s="181" t="n">
        <x:v>2025</x:v>
      </x:c>
      <x:c r="B13" s="182" t="str">
        <x:v>narrow_patent_scope_proxy</x:v>
      </x:c>
      <x:c r="C13" s="182" t="str">
        <x:v>85434000+24041200</x:v>
      </x:c>
      <x:c r="D13" s="182" t="str">
        <x:v>export</x:v>
      </x:c>
      <x:c r="E13" s="182" t="n">
        <x:v>2</x:v>
      </x:c>
      <x:c r="F13" s="182" t="str">
        <x:v>FI</x:v>
      </x:c>
      <x:c r="G13" s="182" t="str">
        <x:v>Finland</x:v>
      </x:c>
      <x:c r="H13" s="182" t="str">
        <x:v>country of destination</x:v>
      </x:c>
      <x:c r="I13" s="230" t="n">
        <x:v>264187</x:v>
      </x:c>
      <x:c r="J13" s="233" t="n">
        <x:v>0.18644107000000001</x:v>
      </x:c>
      <x:c r="K13" s="182" t="str">
        <x:v>intra-EU import partner is consignment country, not necessarily origin; export partner is destination</x:v>
      </x:c>
      <x:c r="L13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4" ht="226.8000030517578" hidden="0" customHeight="1">
      <x:c r="A14" s="181" t="n">
        <x:v>2025</x:v>
      </x:c>
      <x:c r="B14" s="182" t="str">
        <x:v>narrow_patent_scope_proxy</x:v>
      </x:c>
      <x:c r="C14" s="182" t="str">
        <x:v>85434000+24041200</x:v>
      </x:c>
      <x:c r="D14" s="182" t="str">
        <x:v>export</x:v>
      </x:c>
      <x:c r="E14" s="182" t="n">
        <x:v>3</x:v>
      </x:c>
      <x:c r="F14" s="182" t="str">
        <x:v>DK</x:v>
      </x:c>
      <x:c r="G14" s="182" t="str">
        <x:v>Denmark</x:v>
      </x:c>
      <x:c r="H14" s="182" t="str">
        <x:v>country of destination</x:v>
      </x:c>
      <x:c r="I14" s="230" t="n">
        <x:v>218218</x:v>
      </x:c>
      <x:c r="J14" s="233" t="n">
        <x:v>0.154</x:v>
      </x:c>
      <x:c r="K14" s="182" t="str">
        <x:v>intra-EU import partner is consignment country, not necessarily origin; export partner is destination</x:v>
      </x:c>
      <x:c r="L14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5" ht="226.8000030517578" hidden="0" customHeight="1">
      <x:c r="A15" s="181" t="n">
        <x:v>2025</x:v>
      </x:c>
      <x:c r="B15" s="182" t="str">
        <x:v>narrow_patent_scope_proxy</x:v>
      </x:c>
      <x:c r="C15" s="182" t="str">
        <x:v>85434000+24041200</x:v>
      </x:c>
      <x:c r="D15" s="182" t="str">
        <x:v>export</x:v>
      </x:c>
      <x:c r="E15" s="182" t="n">
        <x:v>4</x:v>
      </x:c>
      <x:c r="F15" s="182" t="str">
        <x:v>FR</x:v>
      </x:c>
      <x:c r="G15" s="182" t="str">
        <x:v>France (incl. Saint Barthélemy 'BL' -&gt; 2012; incl. French Guiana 'GF', Guadeloupe 'GP', Martinique 'MQ', Réunion 'RE' from 1997; incl. Mayotte 'YT' from 2014)</x:v>
      </x:c>
      <x:c r="H15" s="182" t="str">
        <x:v>country of destination</x:v>
      </x:c>
      <x:c r="I15" s="230" t="n">
        <x:v>214062</x:v>
      </x:c>
      <x:c r="J15" s="233" t="n">
        <x:v>0.15106704</x:v>
      </x:c>
      <x:c r="K15" s="182" t="str">
        <x:v>intra-EU import partner is consignment country, not necessarily origin; export partner is destination</x:v>
      </x:c>
      <x:c r="L15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6" ht="226.8000030517578" hidden="0" customHeight="1">
      <x:c r="A16" s="181" t="n">
        <x:v>2025</x:v>
      </x:c>
      <x:c r="B16" s="182" t="str">
        <x:v>narrow_patent_scope_proxy</x:v>
      </x:c>
      <x:c r="C16" s="182" t="str">
        <x:v>85434000+24041200</x:v>
      </x:c>
      <x:c r="D16" s="182" t="str">
        <x:v>export</x:v>
      </x:c>
      <x:c r="E16" s="182" t="n">
        <x:v>5</x:v>
      </x:c>
      <x:c r="F16" s="182" t="str">
        <x:v>CN</x:v>
      </x:c>
      <x:c r="G16" s="182" t="str">
        <x:v>China</x:v>
      </x:c>
      <x:c r="H16" s="182" t="str">
        <x:v>country of destination</x:v>
      </x:c>
      <x:c r="I16" s="230" t="n">
        <x:v>159664</x:v>
      </x:c>
      <x:c r="J16" s="233" t="n">
        <x:v>0.11267749</x:v>
      </x:c>
      <x:c r="K16" s="182" t="str">
        <x:v>intra-EU import partner is consignment country, not necessarily origin; export partner is destination</x:v>
      </x:c>
      <x:c r="L16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7" ht="226.8000030517578" hidden="0" customHeight="1">
      <x:c r="A17" s="181" t="n">
        <x:v>2025</x:v>
      </x:c>
      <x:c r="B17" s="182" t="str">
        <x:v>narrow_patent_scope_proxy</x:v>
      </x:c>
      <x:c r="C17" s="182" t="str">
        <x:v>85434000+24041200</x:v>
      </x:c>
      <x:c r="D17" s="182" t="str">
        <x:v>export</x:v>
      </x:c>
      <x:c r="E17" s="182" t="n">
        <x:v>6</x:v>
      </x:c>
      <x:c r="F17" s="182" t="str">
        <x:v>GB</x:v>
      </x:c>
      <x:c r="G17" s="182" t="str">
        <x:v>United Kingdom</x:v>
      </x:c>
      <x:c r="H17" s="182" t="str">
        <x:v>country of destination</x:v>
      </x:c>
      <x:c r="I17" s="230" t="n">
        <x:v>152383</x:v>
      </x:c>
      <x:c r="J17" s="233" t="n">
        <x:v>0.10753916999999999</x:v>
      </x:c>
      <x:c r="K17" s="182" t="str">
        <x:v>intra-EU import partner is consignment country, not necessarily origin; export partner is destination</x:v>
      </x:c>
      <x:c r="L17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8" ht="226.8000030517578" hidden="0" customHeight="1">
      <x:c r="A18" s="181" t="n">
        <x:v>2025</x:v>
      </x:c>
      <x:c r="B18" s="182" t="str">
        <x:v>narrow_patent_scope_proxy</x:v>
      </x:c>
      <x:c r="C18" s="182" t="str">
        <x:v>85434000+24041200</x:v>
      </x:c>
      <x:c r="D18" s="182" t="str">
        <x:v>export</x:v>
      </x:c>
      <x:c r="E18" s="182" t="n">
        <x:v>7</x:v>
      </x:c>
      <x:c r="F18" s="182" t="str">
        <x:v>NO</x:v>
      </x:c>
      <x:c r="G18" s="182" t="str">
        <x:v>Norway (incl. Svalbard and Jan Mayen 'SJ' -&gt; 1994 and again from 1997)</x:v>
      </x:c>
      <x:c r="H18" s="182" t="str">
        <x:v>country of destination</x:v>
      </x:c>
      <x:c r="I18" s="230" t="n">
        <x:v>35329</x:v>
      </x:c>
      <x:c r="J18" s="233" t="n">
        <x:v>0.02493225</x:v>
      </x:c>
      <x:c r="K18" s="182" t="str">
        <x:v>intra-EU import partner is consignment country, not necessarily origin; export partner is destination</x:v>
      </x:c>
      <x:c r="L18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19" ht="226.8000030517578" hidden="0" customHeight="1">
      <x:c r="A19" s="181" t="n">
        <x:v>2025</x:v>
      </x:c>
      <x:c r="B19" s="182" t="str">
        <x:v>narrow_patent_scope_proxy</x:v>
      </x:c>
      <x:c r="C19" s="182" t="str">
        <x:v>85434000+24041200</x:v>
      </x:c>
      <x:c r="D19" s="182" t="str">
        <x:v>export</x:v>
      </x:c>
      <x:c r="E19" s="182" t="n">
        <x:v>8</x:v>
      </x:c>
      <x:c r="F19" s="182" t="str">
        <x:v>IT</x:v>
      </x:c>
      <x:c r="G19" s="182" t="str">
        <x:v>Italy (incl. San Marino 'SM' -&gt; 1993)</x:v>
      </x:c>
      <x:c r="H19" s="182" t="str">
        <x:v>country of destination</x:v>
      </x:c>
      <x:c r="I19" s="230" t="n">
        <x:v>33456</x:v>
      </x:c>
      <x:c r="J19" s="233" t="n">
        <x:v>0.02361044</x:v>
      </x:c>
      <x:c r="K19" s="182" t="str">
        <x:v>intra-EU import partner is consignment country, not necessarily origin; export partner is destination</x:v>
      </x:c>
      <x:c r="L19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0" ht="226.8000030517578" hidden="0" customHeight="1">
      <x:c r="A20" s="181" t="n">
        <x:v>2025</x:v>
      </x:c>
      <x:c r="B20" s="182" t="str">
        <x:v>narrow_patent_scope_proxy</x:v>
      </x:c>
      <x:c r="C20" s="182" t="str">
        <x:v>85434000+24041200</x:v>
      </x:c>
      <x:c r="D20" s="182" t="str">
        <x:v>export</x:v>
      </x:c>
      <x:c r="E20" s="182" t="n">
        <x:v>9</x:v>
      </x:c>
      <x:c r="F20" s="182" t="str">
        <x:v>DE</x:v>
      </x:c>
      <x:c r="G20" s="182" t="str">
        <x:v>Germany (incl. German Democratic Republic 'DD' from 1991)</x:v>
      </x:c>
      <x:c r="H20" s="182" t="str">
        <x:v>country of destination</x:v>
      </x:c>
      <x:c r="I20" s="230" t="n">
        <x:v>32056</x:v>
      </x:c>
      <x:c r="J20" s="233" t="n">
        <x:v>0.02262244</x:v>
      </x:c>
      <x:c r="K20" s="182" t="str">
        <x:v>intra-EU import partner is consignment country, not necessarily origin; export partner is destination</x:v>
      </x:c>
      <x:c r="L20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1" ht="226.8000030517578" hidden="0" customHeight="1">
      <x:c r="A21" s="181" t="n">
        <x:v>2025</x:v>
      </x:c>
      <x:c r="B21" s="182" t="str">
        <x:v>narrow_patent_scope_proxy</x:v>
      </x:c>
      <x:c r="C21" s="182" t="str">
        <x:v>85434000+24041200</x:v>
      </x:c>
      <x:c r="D21" s="182" t="str">
        <x:v>export</x:v>
      </x:c>
      <x:c r="E21" s="182" t="n">
        <x:v>10</x:v>
      </x:c>
      <x:c r="F21" s="182" t="str">
        <x:v>GR</x:v>
      </x:c>
      <x:c r="G21" s="182" t="str">
        <x:v>Greece</x:v>
      </x:c>
      <x:c r="H21" s="182" t="str">
        <x:v>country of destination</x:v>
      </x:c>
      <x:c r="I21" s="230" t="n">
        <x:v>20697</x:v>
      </x:c>
      <x:c r="J21" s="233" t="n">
        <x:v>0.01460621</x:v>
      </x:c>
      <x:c r="K21" s="182" t="str">
        <x:v>intra-EU import partner is consignment country, not necessarily origin; export partner is destination</x:v>
      </x:c>
      <x:c r="L21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2" ht="226.8000030517578" hidden="0" customHeight="1">
      <x:c r="A22" s="181" t="n">
        <x:v>2025</x:v>
      </x:c>
      <x:c r="B22" s="182" t="str">
        <x:v>broad_inhalation_proxy</x:v>
      </x:c>
      <x:c r="C22" s="182" t="str">
        <x:v>85434000+24041200+24041910+24041990</x:v>
      </x:c>
      <x:c r="D22" s="182" t="str">
        <x:v>import</x:v>
      </x:c>
      <x:c r="E22" s="182" t="n">
        <x:v>1</x:v>
      </x:c>
      <x:c r="F22" s="182" t="str">
        <x:v>CN</x:v>
      </x:c>
      <x:c r="G22" s="182" t="str">
        <x:v>China</x:v>
      </x:c>
      <x:c r="H22" s="182" t="str">
        <x:v>extra-EU country of origin</x:v>
      </x:c>
      <x:c r="I22" s="230" t="n">
        <x:v>37700268</x:v>
      </x:c>
      <x:c r="J22" s="233" t="n">
        <x:v>0.73852155</x:v>
      </x:c>
      <x:c r="K22" s="182" t="str">
        <x:v>intra-EU import partner is consignment country, not necessarily origin; export partner is destination</x:v>
      </x:c>
      <x:c r="L22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3" ht="226.8000030517578" hidden="0" customHeight="1">
      <x:c r="A23" s="181" t="n">
        <x:v>2025</x:v>
      </x:c>
      <x:c r="B23" s="182" t="str">
        <x:v>broad_inhalation_proxy</x:v>
      </x:c>
      <x:c r="C23" s="182" t="str">
        <x:v>85434000+24041200+24041910+24041990</x:v>
      </x:c>
      <x:c r="D23" s="182" t="str">
        <x:v>import</x:v>
      </x:c>
      <x:c r="E23" s="182" t="n">
        <x:v>2</x:v>
      </x:c>
      <x:c r="F23" s="182" t="str">
        <x:v>PL</x:v>
      </x:c>
      <x:c r="G23" s="182" t="str">
        <x:v>Poland</x:v>
      </x:c>
      <x:c r="H23" s="182" t="str">
        <x:v>intra-EU country of consignment</x:v>
      </x:c>
      <x:c r="I23" s="230" t="n">
        <x:v>3614941</x:v>
      </x:c>
      <x:c r="J23" s="233" t="n">
        <x:v>0.07081413</x:v>
      </x:c>
      <x:c r="K23" s="182" t="str">
        <x:v>intra-EU import partner is consignment country, not necessarily origin; export partner is destination</x:v>
      </x:c>
      <x:c r="L23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4" ht="226.8000030517578" hidden="0" customHeight="1">
      <x:c r="A24" s="181" t="n">
        <x:v>2025</x:v>
      </x:c>
      <x:c r="B24" s="182" t="str">
        <x:v>broad_inhalation_proxy</x:v>
      </x:c>
      <x:c r="C24" s="182" t="str">
        <x:v>85434000+24041200+24041910+24041990</x:v>
      </x:c>
      <x:c r="D24" s="182" t="str">
        <x:v>import</x:v>
      </x:c>
      <x:c r="E24" s="182" t="n">
        <x:v>3</x:v>
      </x:c>
      <x:c r="F24" s="182" t="str">
        <x:v>BE</x:v>
      </x:c>
      <x:c r="G24" s="182" t="str">
        <x:v>Belgium (incl. Luxembourg 'LU' -&gt; 1998)</x:v>
      </x:c>
      <x:c r="H24" s="182" t="str">
        <x:v>intra-EU country of consignment</x:v>
      </x:c>
      <x:c r="I24" s="230" t="n">
        <x:v>3413476</x:v>
      </x:c>
      <x:c r="J24" s="233" t="n">
        <x:v>0.06686758</x:v>
      </x:c>
      <x:c r="K24" s="182" t="str">
        <x:v>intra-EU import partner is consignment country, not necessarily origin; export partner is destination</x:v>
      </x:c>
      <x:c r="L24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5" ht="226.8000030517578" hidden="0" customHeight="1">
      <x:c r="A25" s="181" t="n">
        <x:v>2025</x:v>
      </x:c>
      <x:c r="B25" s="182" t="str">
        <x:v>broad_inhalation_proxy</x:v>
      </x:c>
      <x:c r="C25" s="182" t="str">
        <x:v>85434000+24041200+24041910+24041990</x:v>
      </x:c>
      <x:c r="D25" s="182" t="str">
        <x:v>import</x:v>
      </x:c>
      <x:c r="E25" s="182" t="n">
        <x:v>4</x:v>
      </x:c>
      <x:c r="F25" s="182" t="str">
        <x:v>DE</x:v>
      </x:c>
      <x:c r="G25" s="182" t="str">
        <x:v>Germany (incl. German Democratic Republic 'DD' from 1991)</x:v>
      </x:c>
      <x:c r="H25" s="182" t="str">
        <x:v>intra-EU country of consignment</x:v>
      </x:c>
      <x:c r="I25" s="230" t="n">
        <x:v>2240822</x:v>
      </x:c>
      <x:c r="J25" s="233" t="n">
        <x:v>0.04389612</x:v>
      </x:c>
      <x:c r="K25" s="182" t="str">
        <x:v>intra-EU import partner is consignment country, not necessarily origin; export partner is destination</x:v>
      </x:c>
      <x:c r="L25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6" ht="226.8000030517578" hidden="0" customHeight="1">
      <x:c r="A26" s="181" t="n">
        <x:v>2025</x:v>
      </x:c>
      <x:c r="B26" s="182" t="str">
        <x:v>broad_inhalation_proxy</x:v>
      </x:c>
      <x:c r="C26" s="182" t="str">
        <x:v>85434000+24041200+24041910+24041990</x:v>
      </x:c>
      <x:c r="D26" s="182" t="str">
        <x:v>import</x:v>
      </x:c>
      <x:c r="E26" s="182" t="n">
        <x:v>5</x:v>
      </x:c>
      <x:c r="F26" s="182" t="str">
        <x:v>NL</x:v>
      </x:c>
      <x:c r="G26" s="182" t="str">
        <x:v>Netherlands</x:v>
      </x:c>
      <x:c r="H26" s="182" t="str">
        <x:v>intra-EU country of consignment</x:v>
      </x:c>
      <x:c r="I26" s="230" t="n">
        <x:v>1959810</x:v>
      </x:c>
      <x:c r="J26" s="233" t="n">
        <x:v>0.038391289999999995</x:v>
      </x:c>
      <x:c r="K26" s="182" t="str">
        <x:v>intra-EU import partner is consignment country, not necessarily origin; export partner is destination</x:v>
      </x:c>
      <x:c r="L26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7" ht="226.8000030517578" hidden="0" customHeight="1">
      <x:c r="A27" s="181" t="n">
        <x:v>2025</x:v>
      </x:c>
      <x:c r="B27" s="182" t="str">
        <x:v>broad_inhalation_proxy</x:v>
      </x:c>
      <x:c r="C27" s="182" t="str">
        <x:v>85434000+24041200+24041910+24041990</x:v>
      </x:c>
      <x:c r="D27" s="182" t="str">
        <x:v>import</x:v>
      </x:c>
      <x:c r="E27" s="182" t="n">
        <x:v>6</x:v>
      </x:c>
      <x:c r="F27" s="182" t="str">
        <x:v>HR</x:v>
      </x:c>
      <x:c r="G27" s="182" t="str">
        <x:v>Croatia</x:v>
      </x:c>
      <x:c r="H27" s="182" t="str">
        <x:v>intra-EU country of consignment</x:v>
      </x:c>
      <x:c r="I27" s="230" t="n">
        <x:v>989563</x:v>
      </x:c>
      <x:c r="J27" s="233" t="n">
        <x:v>0.01938484</x:v>
      </x:c>
      <x:c r="K27" s="182" t="str">
        <x:v>intra-EU import partner is consignment country, not necessarily origin; export partner is destination</x:v>
      </x:c>
      <x:c r="L27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8" ht="226.8000030517578" hidden="0" customHeight="1">
      <x:c r="A28" s="181" t="n">
        <x:v>2025</x:v>
      </x:c>
      <x:c r="B28" s="182" t="str">
        <x:v>broad_inhalation_proxy</x:v>
      </x:c>
      <x:c r="C28" s="182" t="str">
        <x:v>85434000+24041200+24041910+24041990</x:v>
      </x:c>
      <x:c r="D28" s="182" t="str">
        <x:v>import</x:v>
      </x:c>
      <x:c r="E28" s="182" t="n">
        <x:v>7</x:v>
      </x:c>
      <x:c r="F28" s="182" t="str">
        <x:v>GB</x:v>
      </x:c>
      <x:c r="G28" s="182" t="str">
        <x:v>United Kingdom</x:v>
      </x:c>
      <x:c r="H28" s="182" t="str">
        <x:v>extra-EU country of origin</x:v>
      </x:c>
      <x:c r="I28" s="230" t="n">
        <x:v>600394</x:v>
      </x:c>
      <x:c r="J28" s="233" t="n">
        <x:v>0.01176129</x:v>
      </x:c>
      <x:c r="K28" s="182" t="str">
        <x:v>intra-EU import partner is consignment country, not necessarily origin; export partner is destination</x:v>
      </x:c>
      <x:c r="L28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29" ht="226.8000030517578" hidden="0" customHeight="1">
      <x:c r="A29" s="181" t="n">
        <x:v>2025</x:v>
      </x:c>
      <x:c r="B29" s="182" t="str">
        <x:v>broad_inhalation_proxy</x:v>
      </x:c>
      <x:c r="C29" s="182" t="str">
        <x:v>85434000+24041200+24041910+24041990</x:v>
      </x:c>
      <x:c r="D29" s="182" t="str">
        <x:v>import</x:v>
      </x:c>
      <x:c r="E29" s="182" t="n">
        <x:v>8</x:v>
      </x:c>
      <x:c r="F29" s="182" t="str">
        <x:v>HK</x:v>
      </x:c>
      <x:c r="G29" s="182" t="str">
        <x:v>Hong Kong</x:v>
      </x:c>
      <x:c r="H29" s="182" t="str">
        <x:v>extra-EU country of origin</x:v>
      </x:c>
      <x:c r="I29" s="230" t="n">
        <x:v>312223</x:v>
      </x:c>
      <x:c r="J29" s="233" t="n">
        <x:v>0.00611623</x:v>
      </x:c>
      <x:c r="K29" s="182" t="str">
        <x:v>intra-EU import partner is consignment country, not necessarily origin; export partner is destination</x:v>
      </x:c>
      <x:c r="L29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0" ht="226.8000030517578" hidden="0" customHeight="1">
      <x:c r="A30" s="181" t="n">
        <x:v>2025</x:v>
      </x:c>
      <x:c r="B30" s="182" t="str">
        <x:v>broad_inhalation_proxy</x:v>
      </x:c>
      <x:c r="C30" s="182" t="str">
        <x:v>85434000+24041200+24041910+24041990</x:v>
      </x:c>
      <x:c r="D30" s="182" t="str">
        <x:v>import</x:v>
      </x:c>
      <x:c r="E30" s="182" t="n">
        <x:v>9</x:v>
      </x:c>
      <x:c r="F30" s="182" t="str">
        <x:v>KR</x:v>
      </x:c>
      <x:c r="G30" s="182" t="str">
        <x:v>Korea, Republic of (South Korea)</x:v>
      </x:c>
      <x:c r="H30" s="182" t="str">
        <x:v>extra-EU country of origin</x:v>
      </x:c>
      <x:c r="I30" s="230" t="n">
        <x:v>85713</x:v>
      </x:c>
      <x:c r="J30" s="233" t="n">
        <x:v>0.00167906</x:v>
      </x:c>
      <x:c r="K30" s="182" t="str">
        <x:v>intra-EU import partner is consignment country, not necessarily origin; export partner is destination</x:v>
      </x:c>
      <x:c r="L30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1" ht="226.8000030517578" hidden="0" customHeight="1">
      <x:c r="A31" s="181" t="n">
        <x:v>2025</x:v>
      </x:c>
      <x:c r="B31" s="182" t="str">
        <x:v>broad_inhalation_proxy</x:v>
      </x:c>
      <x:c r="C31" s="182" t="str">
        <x:v>85434000+24041200+24041910+24041990</x:v>
      </x:c>
      <x:c r="D31" s="182" t="str">
        <x:v>import</x:v>
      </x:c>
      <x:c r="E31" s="182" t="n">
        <x:v>10</x:v>
      </x:c>
      <x:c r="F31" s="182" t="str">
        <x:v>MY</x:v>
      </x:c>
      <x:c r="G31" s="182" t="str">
        <x:v>Malaysia</x:v>
      </x:c>
      <x:c r="H31" s="182" t="str">
        <x:v>extra-EU country of origin</x:v>
      </x:c>
      <x:c r="I31" s="230" t="n">
        <x:v>37678</x:v>
      </x:c>
      <x:c r="J31" s="233" t="n">
        <x:v>0.00073809</x:v>
      </x:c>
      <x:c r="K31" s="182" t="str">
        <x:v>intra-EU import partner is consignment country, not necessarily origin; export partner is destination</x:v>
      </x:c>
      <x:c r="L31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2" ht="226.8000030517578" hidden="0" customHeight="1">
      <x:c r="A32" s="181" t="n">
        <x:v>2025</x:v>
      </x:c>
      <x:c r="B32" s="182" t="str">
        <x:v>broad_inhalation_proxy</x:v>
      </x:c>
      <x:c r="C32" s="182" t="str">
        <x:v>85434000+24041200+24041910+24041990</x:v>
      </x:c>
      <x:c r="D32" s="182" t="str">
        <x:v>export</x:v>
      </x:c>
      <x:c r="E32" s="182" t="n">
        <x:v>1</x:v>
      </x:c>
      <x:c r="F32" s="182" t="str">
        <x:v>US</x:v>
      </x:c>
      <x:c r="G32" s="182" t="str">
        <x:v>United States (incl. Navassa Island (part of 'UM') from 1995 -&gt; 2000)</x:v>
      </x:c>
      <x:c r="H32" s="182" t="str">
        <x:v>country of destination</x:v>
      </x:c>
      <x:c r="I32" s="230" t="n">
        <x:v>271290</x:v>
      </x:c>
      <x:c r="J32" s="233" t="n">
        <x:v>0.18268601</x:v>
      </x:c>
      <x:c r="K32" s="182" t="str">
        <x:v>intra-EU import partner is consignment country, not necessarily origin; export partner is destination</x:v>
      </x:c>
      <x:c r="L32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3" ht="226.8000030517578" hidden="0" customHeight="1">
      <x:c r="A33" s="181" t="n">
        <x:v>2025</x:v>
      </x:c>
      <x:c r="B33" s="182" t="str">
        <x:v>broad_inhalation_proxy</x:v>
      </x:c>
      <x:c r="C33" s="182" t="str">
        <x:v>85434000+24041200+24041910+24041990</x:v>
      </x:c>
      <x:c r="D33" s="182" t="str">
        <x:v>export</x:v>
      </x:c>
      <x:c r="E33" s="182" t="n">
        <x:v>2</x:v>
      </x:c>
      <x:c r="F33" s="182" t="str">
        <x:v>FI</x:v>
      </x:c>
      <x:c r="G33" s="182" t="str">
        <x:v>Finland</x:v>
      </x:c>
      <x:c r="H33" s="182" t="str">
        <x:v>country of destination</x:v>
      </x:c>
      <x:c r="I33" s="230" t="n">
        <x:v>264187</x:v>
      </x:c>
      <x:c r="J33" s="233" t="n">
        <x:v>0.17790287</x:v>
      </x:c>
      <x:c r="K33" s="182" t="str">
        <x:v>intra-EU import partner is consignment country, not necessarily origin; export partner is destination</x:v>
      </x:c>
      <x:c r="L33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4" ht="226.8000030517578" hidden="0" customHeight="1">
      <x:c r="A34" s="181" t="n">
        <x:v>2025</x:v>
      </x:c>
      <x:c r="B34" s="182" t="str">
        <x:v>broad_inhalation_proxy</x:v>
      </x:c>
      <x:c r="C34" s="182" t="str">
        <x:v>85434000+24041200+24041910+24041990</x:v>
      </x:c>
      <x:c r="D34" s="182" t="str">
        <x:v>export</x:v>
      </x:c>
      <x:c r="E34" s="182" t="n">
        <x:v>3</x:v>
      </x:c>
      <x:c r="F34" s="182" t="str">
        <x:v>DK</x:v>
      </x:c>
      <x:c r="G34" s="182" t="str">
        <x:v>Denmark</x:v>
      </x:c>
      <x:c r="H34" s="182" t="str">
        <x:v>country of destination</x:v>
      </x:c>
      <x:c r="I34" s="230" t="n">
        <x:v>218218</x:v>
      </x:c>
      <x:c r="J34" s="233" t="n">
        <x:v>0.14694746</x:v>
      </x:c>
      <x:c r="K34" s="182" t="str">
        <x:v>intra-EU import partner is consignment country, not necessarily origin; export partner is destination</x:v>
      </x:c>
      <x:c r="L34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5" ht="226.8000030517578" hidden="0" customHeight="1">
      <x:c r="A35" s="181" t="n">
        <x:v>2025</x:v>
      </x:c>
      <x:c r="B35" s="182" t="str">
        <x:v>broad_inhalation_proxy</x:v>
      </x:c>
      <x:c r="C35" s="182" t="str">
        <x:v>85434000+24041200+24041910+24041990</x:v>
      </x:c>
      <x:c r="D35" s="182" t="str">
        <x:v>export</x:v>
      </x:c>
      <x:c r="E35" s="182" t="n">
        <x:v>4</x:v>
      </x:c>
      <x:c r="F35" s="182" t="str">
        <x:v>FR</x:v>
      </x:c>
      <x:c r="G35" s="182" t="str">
        <x:v>France (incl. Saint Barthélemy 'BL' -&gt; 2012; incl. French Guiana 'GF', Guadeloupe 'GP', Martinique 'MQ', Réunion 'RE' from 1997; incl. Mayotte 'YT' from 2014)</x:v>
      </x:c>
      <x:c r="H35" s="182" t="str">
        <x:v>country of destination</x:v>
      </x:c>
      <x:c r="I35" s="230" t="n">
        <x:v>214062</x:v>
      </x:c>
      <x:c r="J35" s="233" t="n">
        <x:v>0.14414882</x:v>
      </x:c>
      <x:c r="K35" s="182" t="str">
        <x:v>intra-EU import partner is consignment country, not necessarily origin; export partner is destination</x:v>
      </x:c>
      <x:c r="L35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6" ht="226.8000030517578" hidden="0" customHeight="1">
      <x:c r="A36" s="181" t="n">
        <x:v>2025</x:v>
      </x:c>
      <x:c r="B36" s="182" t="str">
        <x:v>broad_inhalation_proxy</x:v>
      </x:c>
      <x:c r="C36" s="182" t="str">
        <x:v>85434000+24041200+24041910+24041990</x:v>
      </x:c>
      <x:c r="D36" s="182" t="str">
        <x:v>export</x:v>
      </x:c>
      <x:c r="E36" s="182" t="n">
        <x:v>5</x:v>
      </x:c>
      <x:c r="F36" s="182" t="str">
        <x:v>GB</x:v>
      </x:c>
      <x:c r="G36" s="182" t="str">
        <x:v>United Kingdom</x:v>
      </x:c>
      <x:c r="H36" s="182" t="str">
        <x:v>country of destination</x:v>
      </x:c>
      <x:c r="I36" s="230" t="n">
        <x:v>162594</x:v>
      </x:c>
      <x:c r="J36" s="233" t="n">
        <x:v>0.10949039</x:v>
      </x:c>
      <x:c r="K36" s="182" t="str">
        <x:v>intra-EU import partner is consignment country, not necessarily origin; export partner is destination</x:v>
      </x:c>
      <x:c r="L36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7" ht="226.8000030517578" hidden="0" customHeight="1">
      <x:c r="A37" s="181" t="n">
        <x:v>2025</x:v>
      </x:c>
      <x:c r="B37" s="182" t="str">
        <x:v>broad_inhalation_proxy</x:v>
      </x:c>
      <x:c r="C37" s="182" t="str">
        <x:v>85434000+24041200+24041910+24041990</x:v>
      </x:c>
      <x:c r="D37" s="182" t="str">
        <x:v>export</x:v>
      </x:c>
      <x:c r="E37" s="182" t="n">
        <x:v>6</x:v>
      </x:c>
      <x:c r="F37" s="182" t="str">
        <x:v>CN</x:v>
      </x:c>
      <x:c r="G37" s="182" t="str">
        <x:v>China</x:v>
      </x:c>
      <x:c r="H37" s="182" t="str">
        <x:v>country of destination</x:v>
      </x:c>
      <x:c r="I37" s="230" t="n">
        <x:v>159714</x:v>
      </x:c>
      <x:c r="J37" s="233" t="n">
        <x:v>0.10755101</x:v>
      </x:c>
      <x:c r="K37" s="182" t="str">
        <x:v>intra-EU import partner is consignment country, not necessarily origin; export partner is destination</x:v>
      </x:c>
      <x:c r="L37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8" ht="226.8000030517578" hidden="0" customHeight="1">
      <x:c r="A38" s="181" t="n">
        <x:v>2025</x:v>
      </x:c>
      <x:c r="B38" s="182" t="str">
        <x:v>broad_inhalation_proxy</x:v>
      </x:c>
      <x:c r="C38" s="182" t="str">
        <x:v>85434000+24041200+24041910+24041990</x:v>
      </x:c>
      <x:c r="D38" s="182" t="str">
        <x:v>export</x:v>
      </x:c>
      <x:c r="E38" s="182" t="n">
        <x:v>7</x:v>
      </x:c>
      <x:c r="F38" s="182" t="str">
        <x:v>NO</x:v>
      </x:c>
      <x:c r="G38" s="182" t="str">
        <x:v>Norway (incl. Svalbard and Jan Mayen 'SJ' -&gt; 1994 and again from 1997)</x:v>
      </x:c>
      <x:c r="H38" s="182" t="str">
        <x:v>country of destination</x:v>
      </x:c>
      <x:c r="I38" s="230" t="n">
        <x:v>40907</x:v>
      </x:c>
      <x:c r="J38" s="233" t="n">
        <x:v>0.02754667</x:v>
      </x:c>
      <x:c r="K38" s="182" t="str">
        <x:v>intra-EU import partner is consignment country, not necessarily origin; export partner is destination</x:v>
      </x:c>
      <x:c r="L38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39" ht="226.8000030517578" hidden="0" customHeight="1">
      <x:c r="A39" s="181" t="n">
        <x:v>2025</x:v>
      </x:c>
      <x:c r="B39" s="182" t="str">
        <x:v>broad_inhalation_proxy</x:v>
      </x:c>
      <x:c r="C39" s="182" t="str">
        <x:v>85434000+24041200+24041910+24041990</x:v>
      </x:c>
      <x:c r="D39" s="182" t="str">
        <x:v>export</x:v>
      </x:c>
      <x:c r="E39" s="182" t="n">
        <x:v>8</x:v>
      </x:c>
      <x:c r="F39" s="182" t="str">
        <x:v>IT</x:v>
      </x:c>
      <x:c r="G39" s="182" t="str">
        <x:v>Italy (incl. San Marino 'SM' -&gt; 1993)</x:v>
      </x:c>
      <x:c r="H39" s="182" t="str">
        <x:v>country of destination</x:v>
      </x:c>
      <x:c r="I39" s="230" t="n">
        <x:v>33456</x:v>
      </x:c>
      <x:c r="J39" s="233" t="n">
        <x:v>0.022529189999999998</x:v>
      </x:c>
      <x:c r="K39" s="182" t="str">
        <x:v>intra-EU import partner is consignment country, not necessarily origin; export partner is destination</x:v>
      </x:c>
      <x:c r="L39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40" ht="226.8000030517578" hidden="0" customHeight="1">
      <x:c r="A40" s="181" t="n">
        <x:v>2025</x:v>
      </x:c>
      <x:c r="B40" s="182" t="str">
        <x:v>broad_inhalation_proxy</x:v>
      </x:c>
      <x:c r="C40" s="182" t="str">
        <x:v>85434000+24041200+24041910+24041990</x:v>
      </x:c>
      <x:c r="D40" s="182" t="str">
        <x:v>export</x:v>
      </x:c>
      <x:c r="E40" s="182" t="n">
        <x:v>9</x:v>
      </x:c>
      <x:c r="F40" s="182" t="str">
        <x:v>DE</x:v>
      </x:c>
      <x:c r="G40" s="182" t="str">
        <x:v>Germany (incl. German Democratic Republic 'DD' from 1991)</x:v>
      </x:c>
      <x:c r="H40" s="182" t="str">
        <x:v>country of destination</x:v>
      </x:c>
      <x:c r="I40" s="230" t="n">
        <x:v>32056</x:v>
      </x:c>
      <x:c r="J40" s="233" t="n">
        <x:v>0.02158643</x:v>
      </x:c>
      <x:c r="K40" s="182" t="str">
        <x:v>intra-EU import partner is consignment country, not necessarily origin; export partner is destination</x:v>
      </x:c>
      <x:c r="L40" s="183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  <x:row r="41" ht="226.8000030517578" hidden="0" customHeight="1">
      <x:c r="A41" s="184" t="n">
        <x:v>2025</x:v>
      </x:c>
      <x:c r="B41" s="185" t="str">
        <x:v>broad_inhalation_proxy</x:v>
      </x:c>
      <x:c r="C41" s="185" t="str">
        <x:v>85434000+24041200+24041910+24041990</x:v>
      </x:c>
      <x:c r="D41" s="185" t="str">
        <x:v>export</x:v>
      </x:c>
      <x:c r="E41" s="185" t="n">
        <x:v>10</x:v>
      </x:c>
      <x:c r="F41" s="185" t="str">
        <x:v>GR</x:v>
      </x:c>
      <x:c r="G41" s="185" t="str">
        <x:v>Greece</x:v>
      </x:c>
      <x:c r="H41" s="185" t="str">
        <x:v>country of destination</x:v>
      </x:c>
      <x:c r="I41" s="231" t="n">
        <x:v>20697</x:v>
      </x:c>
      <x:c r="J41" s="234" t="n">
        <x:v>0.013937310000000001</x:v>
      </x:c>
      <x:c r="K41" s="185" t="str">
        <x:v>intra-EU import partner is consignment country, not necessarily origin; export partner is destination</x:v>
      </x:c>
      <x:c r="L41" s="186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8" hidden="0" customWidth="1"/>
    <x:col min="5" max="5" width="58" hidden="0" customWidth="1"/>
    <x:col min="6" max="6" width="58" hidden="0" customWidth="1"/>
    <x:col min="7" max="7" width="58" hidden="0" customWidth="1"/>
    <x:col min="8" max="8" width="58" hidden="0" customWidth="1"/>
    <x:col min="9" max="9" width="58" hidden="0" customWidth="1"/>
  </x:cols>
  <x:sheetData>
    <x:row r="1" ht="26.399999618530273" hidden="0" customHeight="1">
      <x:c r="A1" s="156" t="str">
        <x:v>evidence_id</x:v>
      </x:c>
      <x:c r="B1" s="157" t="str">
        <x:v>topic</x:v>
      </x:c>
      <x:c r="C1" s="157" t="str">
        <x:v>source_tier</x:v>
      </x:c>
      <x:c r="D1" s="157" t="str">
        <x:v>source</x:v>
      </x:c>
      <x:c r="E1" s="157" t="str">
        <x:v>original_measure</x:v>
      </x:c>
      <x:c r="F1" s="157" t="str">
        <x:v>transformation</x:v>
      </x:c>
      <x:c r="G1" s="157" t="str">
        <x:v>audit_result</x:v>
      </x:c>
      <x:c r="H1" s="157" t="str">
        <x:v>limitation</x:v>
      </x:c>
      <x:c r="I1" s="158" t="str">
        <x:v>source_url</x:v>
      </x:c>
    </x:row>
    <x:row r="2" ht="97.19999694824219" hidden="0" customHeight="1">
      <x:c r="A2" s="178" t="str">
        <x:v>SE-A1</x:v>
      </x:c>
      <x:c r="B2" s="179" t="str">
        <x:v>taxed volume and revenue</x:v>
      </x:c>
      <x:c r="C2" s="179" t="str">
        <x:v>A</x:v>
      </x:c>
      <x:c r="D2" s="179" t="str">
        <x:v>Swedish Ministry of Finance, Berakningskonventioner 2026 table 7.5</x:v>
      </x:c>
      <x:c r="E2" s="179" t="str">
        <x:v>SEK bn and thousand litres by e-liquid strength, 2024-2026</x:v>
      </x:c>
      <x:c r="F2" s="179" t="str">
        <x:v>multiply displayed revenue by SEK 1bn and quantity by 1,000 litres</x:v>
      </x:c>
      <x:c r="G2" s="179" t="str">
        <x:v>2024 displayed total 26,000 litres and SEK 80m</x:v>
      </x:c>
      <x:c r="H2" s="179" t="str">
        <x:v>rounded and updated; 2025-2026 are not treated as final actuals</x:v>
      </x:c>
      <x:c r="I2" s="180" t="str">
        <x:v>https://www.regeringen.se/contentassets/1ed01e00001b42e5ad8d47433db63ece/berakningskonventioner_2026.pdf</x:v>
      </x:c>
    </x:row>
    <x:row r="3" ht="108" hidden="0" customHeight="1">
      <x:c r="A3" s="181" t="str">
        <x:v>SE-A2</x:v>
      </x:c>
      <x:c r="B3" s="182" t="str">
        <x:v>tax rate</x:v>
      </x:c>
      <x:c r="C3" s="182" t="str">
        <x:v>A</x:v>
      </x:c>
      <x:c r="D3" s="182" t="str">
        <x:v>Skatteverket nicotine tax page</x:v>
      </x:c>
      <x:c r="E3" s="182" t="str">
        <x:v>SEK per litre by year and strength</x:v>
      </x:c>
      <x:c r="F3" s="182" t="str">
        <x:v>divide by 1,000 for SEK/ml presentation</x:v>
      </x:c>
      <x:c r="G3" s="182" t="str">
        <x:v>2024 rates 2.020 and 4.040 SEK/ml; 2026 rates 2.087 and 4.174 SEK/ml</x:v>
      </x:c>
      <x:c r="H3" s="182" t="str">
        <x:v>tax scope is nicotine-containing e-liquids; exemptions apply</x:v>
      </x:c>
      <x:c r="I3" s="183" t="str">
        <x:v>https://www.skatteverket.se/foretagochorganisationer/skatter/punktskatter/nikotinskatt.4.41f1c61d16193087d7fc7fe.html</x:v>
      </x:c>
    </x:row>
    <x:row r="4" ht="97.19999694824219" hidden="0" customHeight="1">
      <x:c r="A4" s="181" t="str">
        <x:v>SE-A3</x:v>
      </x:c>
      <x:c r="B4" s="182" t="str">
        <x:v>volume-revenue reconciliation</x:v>
      </x:c>
      <x:c r="C4" s="182" t="str">
        <x:v>derived from A</x:v>
      </x:c>
      <x:c r="D4" s="182" t="str">
        <x:v>table 7.5 quantities plus Skatteverket rates</x:v>
      </x:c>
      <x:c r="E4" s="182" t="str">
        <x:v>displayed rounded quantities, revenues and exact annual rates</x:v>
      </x:c>
      <x:c r="F4" s="182" t="str">
        <x:v>quantity x rate, then compare with displayed revenue and half-unit rounding intervals</x:v>
      </x:c>
      <x:c r="G4" s="182" t="str">
        <x:v>SEK 80.8m mechanical versus SEK 80m displayed; -1.0% reported-minus-mechanical</x:v>
      </x:c>
      <x:c r="H4" s="182" t="str">
        <x:v>component point gaps cannot be interpreted without displayed-value rounding</x:v>
      </x:c>
      <x:c r="I4" s="183" t="str">
        <x:v>https://www.regeringen.se/contentassets/1ed01e00001b42e5ad8d47433db63ece/berakningskonventioner_2026.pdf</x:v>
      </x:c>
    </x:row>
    <x:row r="5" ht="162" hidden="0" customHeight="1">
      <x:c r="A5" s="181" t="str">
        <x:v>SE-A4</x:v>
      </x:c>
      <x:c r="B5" s="182" t="str">
        <x:v>annual sales reporting universe</x:v>
      </x:c>
      <x:c r="C5" s="182" t="str">
        <x:v>A</x:v>
      </x:c>
      <x:c r="D5" s="182" t="str">
        <x:v>Public Health Agency of Sweden</x:v>
      </x:c>
      <x:c r="E5" s="182" t="str">
        <x:v>annual Swedish sales volume by brand and product type due by 31 March</x:v>
      </x:c>
      <x:c r="F5" s="182" t="str">
        <x:v>none; used to define information-request fields</x:v>
      </x:c>
      <x:c r="G5" s="182" t="str">
        <x:v>authority confirms a national annual reporting duty and recommends EU-CEG</x:v>
      </x:c>
      <x:c r="H5" s="182" t="str">
        <x:v>no public national aggregate found on the preserved page</x:v>
      </x:c>
      <x:c r="I5" s="183" t="str">
        <x:v>https://www.folkhalsomyndigheten.se/anmal-och-rapportera/anmala-ansoka-rapportera-och-registrera-tobaks-och-nikotinprodukter/anmala-ingredienser-i-e-cigaretter-och-pafyllningsbehallare/</x:v>
      </x:c>
    </x:row>
    <x:row r="6" ht="356.3999938964844" hidden="0" customHeight="1">
      <x:c r="A6" s="181" t="str">
        <x:v>SE-A5</x:v>
      </x:c>
      <x:c r="B6" s="182" t="str">
        <x:v>customs route</x:v>
      </x:c>
      <x:c r="C6" s="182" t="str">
        <x:v>A</x:v>
      </x:c>
      <x:c r="D6" s="182" t="str">
        <x:v>Eurostat Comext DS-045409</x:v>
      </x:c>
      <x:c r="E6" s="182" t="str">
        <x:v>2025 import/export value by CN8, flow and partner group/country</x:v>
      </x:c>
      <x:c r="F6" s="182" t="str">
        <x:v>sum products by narrow/broad scope; subtract exports from imports</x:v>
      </x:c>
      <x:c r="G6" s="182" t="str">
        <x:v>route and partner tables reconcile WORLD to intra-/extra-EU groups where reported</x:v>
      </x:c>
      <x:c r="H6" s="182" t="str">
        <x:v>customs value is not retail sell-out; intra-EU import partner is consignment country</x:v>
      </x:c>
      <x:c r="I6" s="183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</x:row>
    <x:row r="7" ht="97.19999694824219" hidden="0" customHeight="1">
      <x:c r="A7" s="184" t="str">
        <x:v>SE-B1</x:v>
      </x:c>
      <x:c r="B7" s="185" t="str">
        <x:v>retail price sensitivity</x:v>
      </x:c>
      <x:c r="C7" s="185" t="str">
        <x:v>B</x:v>
      </x:c>
      <x:c r="D7" s="185" t="str">
        <x:v>WHO 2025 Sweden country profile page 9</x:v>
      </x:c>
      <x:c r="E7" s="185" t="str">
        <x:v>cheapest-brand prices by e-liquid format</x:v>
      </x:c>
      <x:c r="F7" s="185" t="str">
        <x:v>apply 69 SEK/10ml open-system anchor to 2024 taxed litres with +/-20% cases</x:v>
      </x:c>
      <x:c r="G7" s="185" t="str">
        <x:v>mechanical value range SEK 143.52m-215.28m; baseline SEK 179.40m</x:v>
      </x:c>
      <x:c r="H7" s="185" t="str">
        <x:v>not sales-weighted and not an official market-size estimate</x:v>
      </x:c>
      <x:c r="I7" s="186" t="str">
        <x:v>https://cdn.who.int/media/docs/default-source/country-profiles/tobacco/gtrc-2025/tobacco-2025-swe.pdf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40" hidden="0" customWidth="1"/>
    <x:col min="3" max="3" width="16" hidden="0" customWidth="1"/>
    <x:col min="4" max="4" width="68" hidden="0" customWidth="1"/>
    <x:col min="5" max="5" width="54" hidden="0" customWidth="1"/>
  </x:cols>
  <x:sheetData>
    <x:row r="1" ht="26.399999618530273" hidden="0" customHeight="1">
      <x:c r="A1" s="156" t="str">
        <x:v>Source file</x:v>
      </x:c>
      <x:c r="B1" s="157" t="str">
        <x:v>SHA-256</x:v>
      </x:c>
      <x:c r="C1" s="157" t="str">
        <x:v>Bytes</x:v>
      </x:c>
      <x:c r="D1" s="157" t="str">
        <x:v>Primary URL</x:v>
      </x:c>
      <x:c r="E1" s="158" t="str">
        <x:v>Use / boundary</x:v>
      </x:c>
    </x:row>
    <x:row r="2" ht="97.19999694824219" hidden="0" customHeight="1">
      <x:c r="A2" s="178" t="str">
        <x:v>berakningskonventioner_2026.pdf</x:v>
      </x:c>
      <x:c r="B2" s="179" t="str">
        <x:v>4f0b290a232ae2809655415ae0dcbecaa33e6cb747e89e6614beba9ca0aca35c</x:v>
      </x:c>
      <x:c r="C2" s="179" t="n">
        <x:v>1392934</x:v>
      </x:c>
      <x:c r="D2" s="179" t="str">
        <x:v>https://www.regeringen.se/contentassets/1ed01e00001b42e5ad8d47433db63ece/berakningskonventioner_2026.pdf</x:v>
      </x:c>
      <x:c r="E2" s="180" t="str">
        <x:v>Preserved primary source used in the audited Sweden build.</x:v>
      </x:c>
    </x:row>
    <x:row r="3" ht="108" hidden="0" customHeight="1">
      <x:c r="A3" s="181" t="str">
        <x:v>skatteverket_nikotinskatt_2026.html</x:v>
      </x:c>
      <x:c r="B3" s="182" t="str">
        <x:v>52d27ebc0b93e2b376d951fb55ed0a75c0cf223748280dd61323f754b60f1948</x:v>
      </x:c>
      <x:c r="C3" s="182" t="n">
        <x:v>127180</x:v>
      </x:c>
      <x:c r="D3" s="182" t="str">
        <x:v>https://www.skatteverket.se/foretagochorganisationer/skatter/punktskatter/nikotinskatt.4.41f1c61d16193087d7fc7fe.html</x:v>
      </x:c>
      <x:c r="E3" s="183" t="str">
        <x:v>Official rate and taxable-product definition.</x:v>
      </x:c>
    </x:row>
    <x:row r="4" ht="162" hidden="0" customHeight="1">
      <x:c r="A4" s="181" t="str">
        <x:v>fhm_eu_ceg_annual_sales_reporting_2025.html</x:v>
      </x:c>
      <x:c r="B4" s="182" t="str">
        <x:v>dbb6ee8c3ab9d295df67f8f6885a85925785ae3916e362eb9f291afb991b4c10</x:v>
      </x:c>
      <x:c r="C4" s="182" t="n">
        <x:v>69862</x:v>
      </x:c>
      <x:c r="D4" s="182" t="str">
        <x:v>https://www.folkhalsomyndigheten.se/anmal-och-rapportera/anmala-ansoka-rapportera-och-registrera-tobaks-och-nikotinprodukter/anmala-ingredienser-i-e-cigaretter-och-pafyllningsbehallare/</x:v>
      </x:c>
      <x:c r="E4" s="183" t="str">
        <x:v>Proves annual sales-volume reporting duty; no public aggregate.</x:v>
      </x:c>
    </x:row>
    <x:row r="5" ht="86.4000015258789" hidden="0" customHeight="1">
      <x:c r="A5" s="181" t="str">
        <x:v>fhm_contacts_2026.html</x:v>
      </x:c>
      <x:c r="B5" s="182" t="str">
        <x:v>518339fd6da78a61a14244aadf56d2175a2d04661869579dff88a58db197cee6</x:v>
      </x:c>
      <x:c r="C5" s="182" t="n">
        <x:v>71422</x:v>
      </x:c>
      <x:c r="D5" s="182" t="str">
        <x:v>https://www.folkhalsomyndigheten.se/om-folkhalsomyndigheten/kontakta-folkhalsomyndigheten/</x:v>
      </x:c>
      <x:c r="E5" s="183" t="str">
        <x:v>Verifies current FHM dispatch addresses.</x:v>
      </x:c>
    </x:row>
    <x:row r="6" ht="86.4000015258789" hidden="0" customHeight="1">
      <x:c r="A6" s="181" t="str">
        <x:v>regeringskansliet_registrars_2026.html</x:v>
      </x:c>
      <x:c r="B6" s="182" t="str">
        <x:v>74e373a7062c642474d4222884aabb790efe84b84195be3fc44356bec13b08b7</x:v>
      </x:c>
      <x:c r="C6" s="182" t="n">
        <x:v>201964</x:v>
      </x:c>
      <x:c r="D6" s="182" t="str">
        <x:v>https://www.regeringen.se/kontaktuppgifter/kontaktuppgifter-till-departementens-registratorer/</x:v>
      </x:c>
      <x:c r="E6" s="183" t="str">
        <x:v>Verifies Finance Ministry registrar dispatch route.</x:v>
      </x:c>
    </x:row>
    <x:row r="7" ht="97.19999694824219" hidden="0" customHeight="1">
      <x:c r="A7" s="181" t="str">
        <x:v>swe.pdf</x:v>
      </x:c>
      <x:c r="B7" s="182" t="str">
        <x:v>873b9cbe90ea9c67439042421e657d8766c3b6e38db4f937327fbd1719b1dfee</x:v>
      </x:c>
      <x:c r="C7" s="182" t="n">
        <x:v>459112</x:v>
      </x:c>
      <x:c r="D7" s="182" t="str">
        <x:v>https://cdn.who.int/media/docs/default-source/country-profiles/tobacco/gtrc-2025/tobacco-2025-swe.pdf</x:v>
      </x:c>
      <x:c r="E7" s="183" t="str">
        <x:v>B-tier cheapest-brand price snapshot only.</x:v>
      </x:c>
    </x:row>
    <x:row r="8" ht="356.3999938964844" hidden="0" customHeight="1">
      <x:c r="A8" s="181" t="str">
        <x:v>eurostat_sweden_cn8_route_2025.json</x:v>
      </x:c>
      <x:c r="B8" s="182" t="str">
        <x:v>0757def4e4964bdffd9e6a96e3e7fbd8b2ca8a418a64bc1be6767bebd2a90089</x:v>
      </x:c>
      <x:c r="C8" s="182" t="n">
        <x:v>3023</x:v>
      </x:c>
      <x:c r="D8" s="182" t="str">
        <x:v>https://ec.europa.eu/eurostat/api/comext/dissemination/statistics/1.0/data/DS-045409?freq=A&amp;reporter=SE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E8" s="183" t="str">
        <x:v>Border trade and intra-/extra-EU route groups; not sell-out.</x:v>
      </x:c>
    </x:row>
    <x:row r="9" ht="226.8000030517578" hidden="0" customHeight="1">
      <x:c r="A9" s="184" t="str">
        <x:v>eurostat_sweden_cn8_partners_2025.json</x:v>
      </x:c>
      <x:c r="B9" s="185" t="str">
        <x:v>a6cd9617c514514ad8d100c5f58dec9794e0c3339cf33f51eb215c868c7d5e96</x:v>
      </x:c>
      <x:c r="C9" s="185" t="n">
        <x:v>15002</x:v>
      </x:c>
      <x:c r="D9" s="185" t="str">
        <x:v>https://ec.europa.eu/eurostat/api/comext/dissemination/statistics/1.0/data/DS-045409?freq=A&amp;reporter=SE&amp;product=85434000&amp;product=24041200&amp;product=24041910&amp;product=24041990&amp;flow=1&amp;flow=2&amp;indicators=VALUE_IN_EUROS&amp;time=2025&amp;lang=en</x:v>
      </x:c>
      <x:c r="E9" s="186" t="str">
        <x:v>Import partner semantics differ inside/outside EU; exports use destination.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0" hidden="0" customWidth="1"/>
    <x:col min="3" max="3" width="50" hidden="0" customWidth="1"/>
    <x:col min="4" max="4" width="50" hidden="0" customWidth="1"/>
    <x:col min="5" max="5" width="28" hidden="0" customWidth="1"/>
  </x:cols>
  <x:sheetData>
    <x:row r="1" ht="26.399999618530273" hidden="0" customHeight="1">
      <x:c r="A1" s="156" t="str">
        <x:v>Priority</x:v>
      </x:c>
      <x:c r="B1" s="157" t="str">
        <x:v>Missing aggregate</x:v>
      </x:c>
      <x:c r="C1" s="157" t="str">
        <x:v>Why it matters</x:v>
      </x:c>
      <x:c r="D1" s="157" t="str">
        <x:v>Acquisition route</x:v>
      </x:c>
      <x:c r="E1" s="158" t="str">
        <x:v>Status</x:v>
      </x:c>
    </x:row>
    <x:row r="2" ht="64.80000305175781" hidden="0" customHeight="1">
      <x:c r="A2" s="178" t="str">
        <x:v>P1</x:v>
      </x:c>
      <x:c r="B2" s="179" t="str">
        <x:v>2021-2025 annual EU-CEG units and ml</x:v>
      </x:c>
      <x:c r="C2" s="179" t="str">
        <x:v>Closer to legal market sell-out than customs or tax volume alone</x:v>
      </x:c>
      <x:c r="D2" s="179" t="str">
        <x:v>PX-SE-001 to FHM</x:v>
      </x:c>
      <x:c r="E2" s="180" t="str">
        <x:v>READY FOR CONFIRMATION</x:v>
      </x:c>
    </x:row>
    <x:row r="3" ht="64.80000305175781" hidden="0" customHeight="1">
      <x:c r="A3" s="181" t="str">
        <x:v>P1</x:v>
      </x:c>
      <x:c r="B3" s="182" t="str">
        <x:v>EU-CEG submission completeness</x:v>
      </x:c>
      <x:c r="C3" s="182" t="str">
        <x:v>Required to audit coverage and calculate a defensible hit rate</x:v>
      </x:c>
      <x:c r="D3" s="182" t="str">
        <x:v>PX-SE-001 to FHM</x:v>
      </x:c>
      <x:c r="E3" s="183" t="str">
        <x:v>READY FOR CONFIRMATION</x:v>
      </x:c>
    </x:row>
    <x:row r="4" ht="64.80000305175781" hidden="0" customHeight="1">
      <x:c r="A4" s="181" t="str">
        <x:v>P1</x:v>
      </x:c>
      <x:c r="B4" s="182" t="str">
        <x:v>Unrounded tax litres and net revenue</x:v>
      </x:c>
      <x:c r="C4" s="182" t="str">
        <x:v>Replaces the displayed thousand-litre and SEK 10m granularity</x:v>
      </x:c>
      <x:c r="D4" s="182" t="str">
        <x:v>PX-SE-002 to Finance Ministry</x:v>
      </x:c>
      <x:c r="E4" s="183" t="str">
        <x:v>READY FOR CONFIRMATION</x:v>
      </x:c>
    </x:row>
    <x:row r="5" ht="64.80000305175781" hidden="0" customHeight="1">
      <x:c r="A5" s="181" t="str">
        <x:v>P1</x:v>
      </x:c>
      <x:c r="B5" s="182" t="str">
        <x:v>Actual-versus-forecast flags for 2025-2026</x:v>
      </x:c>
      <x:c r="C5" s="182" t="str">
        <x:v>Prevents estimates from being presented as booked revenue</x:v>
      </x:c>
      <x:c r="D5" s="182" t="str">
        <x:v>PX-SE-002 to Finance Ministry</x:v>
      </x:c>
      <x:c r="E5" s="183" t="str">
        <x:v>READY FOR CONFIRMATION</x:v>
      </x:c>
    </x:row>
    <x:row r="6" ht="75.5999984741211" hidden="0" customHeight="1">
      <x:c r="A6" s="181" t="str">
        <x:v>P2</x:v>
      </x:c>
      <x:c r="B6" s="182" t="str">
        <x:v>Sales-weighted retail price by format</x:v>
      </x:c>
      <x:c r="C6" s="182" t="str">
        <x:v>Converts official volume into a defensible legal retail-value range</x:v>
      </x:c>
      <x:c r="D6" s="182" t="str">
        <x:v>Official CPI microdata or licensed sell-out panel</x:v>
      </x:c>
      <x:c r="E6" s="183" t="str">
        <x:v>NOT OBTAINED</x:v>
      </x:c>
    </x:row>
    <x:row r="7" ht="54" hidden="0" customHeight="1">
      <x:c r="A7" s="181" t="str">
        <x:v>P2</x:v>
      </x:c>
      <x:c r="B7" s="182" t="str">
        <x:v>Device units and value</x:v>
      </x:c>
      <x:c r="C7" s="182" t="str">
        <x:v>Liquid tax data do not measure the device segment</x:v>
      </x:c>
      <x:c r="D7" s="182" t="str">
        <x:v>PX-SE-001 plus official retail/customs evidence</x:v>
      </x:c>
      <x:c r="E7" s="183" t="str">
        <x:v>NOT OBTAINED</x:v>
      </x:c>
    </x:row>
    <x:row r="8" ht="64.80000305175781" hidden="0" customHeight="1">
      <x:c r="A8" s="181" t="str">
        <x:v>P2</x:v>
      </x:c>
      <x:c r="B8" s="182" t="str">
        <x:v>Nicotine-free and illegal/undeclared liquids</x:v>
      </x:c>
      <x:c r="C8" s="182" t="str">
        <x:v>Outside the nicotine-tax base but potentially inside patent scope</x:v>
      </x:c>
      <x:c r="D8" s="182" t="str">
        <x:v>FHM / Customs / enforcement aggregate</x:v>
      </x:c>
      <x:c r="E8" s="183" t="str">
        <x:v>NOT OBTAINED</x:v>
      </x:c>
    </x:row>
    <x:row r="9" ht="86.4000015258789" hidden="0" customHeight="1">
      <x:c r="A9" s="184" t="str">
        <x:v>P2</x:v>
      </x:c>
      <x:c r="B9" s="185" t="str">
        <x:v>Domestic production, inventory and transit</x:v>
      </x:c>
      <x:c r="C9" s="185" t="str">
        <x:v>Required before customs border net can be related to domestic demand</x:v>
      </x:c>
      <x:c r="D9" s="185" t="str">
        <x:v>SCB / Customs / official business statistics</x:v>
      </x:c>
      <x:c r="E9" s="186" t="str">
        <x:v>NOT OBTAINED</x:v>
      </x:c>
    </x:row>
  </x:sheetData>
  <x:pageMargins left="0.7" right="0.7" top="0.75" bottom="0.75" header="0.3" footer="0.3"/>
</x:worksheet>
</file>