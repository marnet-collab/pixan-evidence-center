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1ee53ffd0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561690e5b3453a"/>
    <x:sheet xmlns:r="http://schemas.openxmlformats.org/officeDocument/2006/relationships" name="Customs" sheetId="2" r:id="R52afe96f5e5e4bfd"/>
    <x:sheet xmlns:r="http://schemas.openxmlformats.org/officeDocument/2006/relationships" name="Monthly" sheetId="3" r:id="Rbfffc83ff5034f95"/>
    <x:sheet xmlns:r="http://schemas.openxmlformats.org/officeDocument/2006/relationships" name="Route Bridge" sheetId="4" r:id="Ra4207b86ef384e8f"/>
    <x:sheet xmlns:r="http://schemas.openxmlformats.org/officeDocument/2006/relationships" name="Top Origins" sheetId="5" r:id="R19d31aad36c54565"/>
    <x:sheet xmlns:r="http://schemas.openxmlformats.org/officeDocument/2006/relationships" name="ANSES Audit" sheetId="6" r:id="R5b80f5d30ddc4ae4"/>
    <x:sheet xmlns:r="http://schemas.openxmlformats.org/officeDocument/2006/relationships" name="Product Types" sheetId="7" r:id="Rc417e6255cf04bff"/>
    <x:sheet xmlns:r="http://schemas.openxmlformats.org/officeDocument/2006/relationships" name="Sales Coverage" sheetId="8" r:id="R696c6ff952b6406e"/>
    <x:sheet xmlns:r="http://schemas.openxmlformats.org/officeDocument/2006/relationships" name="Sources" sheetId="9" r:id="R2df56bc4f07f4730"/>
  </x:sheets>
</x:workbook>
</file>

<file path=xl/comments1.xml><?xml version="1.0" encoding="utf-8"?>
<x:comments xmlns:x="http://schemas.openxmlformats.org/spreadsheetml/2006/main">
  <x:authors>
    <x:author>tc={BFE45336-1CCF-91E8-4627-E4DDC54F3C71}</x:author>
    <x:author>tc={2458C578-D98B-5A01-B869-87489008A9EC}</x:author>
    <x:author>tc={2C7A6754-E520-185F-9D59-DB850C490BA1}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Sources: https://www.douane.gouv.fr/la-douane/opendata?f%5B0%5D=categorie_opendata_facet%3A458&amp;title= and https://ec.europa.eu/eurostat/api/comext/dissemination/statistics/1.0/data/DS-045409?freq=A&amp;reporter=FR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t>
        </x:r>
      </x:text>
    </x:comment>
    <x:comment ref="B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https://www.data.gouv.fr/en/datasets/produits-du-tabac-et-produits-connexes-declares-sur-le-marche-francais/. Registry records are not sales or active SKU counts.</x:t>
        </x:r>
      </x:text>
    </x:comment>
    <x:comment ref="B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https://www.anses.fr/fr/system/files/CONSO2018SA0189Ra-2.pdf. Published 2016-2017 expected-versus-transmitted presentation counts.</x:t>
        </x:r>
      </x:text>
    </x:comment>
  </x:commentList>
</x:comments>
</file>

<file path=xl/comments2.xml><?xml version="1.0" encoding="utf-8"?>
<x:comments xmlns:x="http://schemas.openxmlformats.org/spreadsheetml/2006/main">
  <x:authors>
    <x:author>tc={2C62A0BD-001B-5861-CAE8-F63B9CD2C373}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Exact Eurostat DS-045409 API query: https://ec.europa.eu/eurostat/api/comext/dissemination/statistics/1.0/data/DS-045409?freq=A&amp;reporter=FR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0%"/>
    <x:numFmt numFmtId="202" formatCode="#,##0.000;[Red](#,##0.000);-"/>
  </x:numFmts>
  <x:fonts count="1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0243E"/>
      <x:name val="Carlito"/>
    </x:font>
    <x:font>
      <x:b/>
      <x:sz val="11"/>
      <x:color rgb="FFFFFFFF"/>
      <x:name val="Carlito"/>
    </x:font>
    <x:font>
      <x:b/>
      <x:sz val="11"/>
      <x:color rgb="FF10243E"/>
      <x:name val="Carlito"/>
    </x:font>
    <x:font>
      <x:b/>
      <x:sz val="11"/>
      <x:color rgb="FF000000"/>
      <x:name val="Carlito"/>
    </x:font>
    <x:font>
      <x:sz val="11"/>
      <x:color rgb="FF667085"/>
      <x:name val="Carlito"/>
    </x:font>
    <x:font>
      <x:b/>
      <x:sz val="11"/>
      <x:color rgb="FF1F7A4D"/>
      <x:name val="Carlito"/>
    </x:font>
    <x:font>
      <x:b/>
      <x:sz val="11"/>
      <x:color rgb="FFC89425"/>
      <x:name val="Carlito"/>
    </x:font>
    <x:font>
      <x:b/>
      <x:sz val="20"/>
      <x:color rgb="FFFFFFFF"/>
      <x:name val="Arial"/>
    </x:font>
    <x:font>
      <x:i/>
      <x:sz val="11"/>
      <x:color rgb="FF10243E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0243E"/>
      <x:name val="Arial"/>
    </x:font>
    <x:font>
      <x:b/>
      <x:sz val="11"/>
      <x:color rgb="FF000000"/>
      <x:name val="Arial"/>
    </x:font>
    <x:font>
      <x:sz val="11"/>
      <x:color rgb="FF667085"/>
      <x:name val="Arial"/>
    </x:font>
    <x:font>
      <x:b/>
      <x:sz val="11"/>
      <x:color rgb="FF1F7A4D"/>
      <x:name val="Arial"/>
    </x:font>
    <x:font>
      <x:b/>
      <x:sz val="11"/>
      <x:color rgb="FFC89425"/>
      <x:name val="Arial"/>
    </x:font>
    <x:font>
      <x:sz val="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AF1FB"/>
      </x:patternFill>
    </x:fill>
    <x:fill>
      <x:patternFill patternType="solid">
        <x:fgColor rgb="FF2457A7"/>
      </x:patternFill>
    </x:fill>
    <x:fill>
      <x:patternFill patternType="solid">
        <x:fgColor rgb="FFE7F5ED"/>
      </x:patternFill>
    </x:fill>
    <x:fill>
      <x:patternFill patternType="solid">
        <x:fgColor rgb="FFFFF5D8"/>
      </x:patternFill>
    </x:fill>
    <x:fill>
      <x:patternFill patternType="solid">
        <x:fgColor rgb="FFC89425"/>
      </x:patternFill>
    </x:fill>
    <x:fill>
      <x:patternFill patternType="solid">
        <x:fgColor rgb="FFFFFFFF"/>
      </x:patternFill>
    </x:fill>
  </x:fills>
  <x:borders count="18">
    <x:border/>
    <x:border>
      <x:left style="thin">
        <x:color rgb="FF2457A7"/>
      </x:left>
      <x:top style="thin">
        <x:color rgb="FF2457A7"/>
      </x:top>
      <x:bottom style="thin">
        <x:color rgb="FF2457A7"/>
      </x:bottom>
    </x:border>
    <x:border>
      <x:top style="thin">
        <x:color rgb="FF2457A7"/>
      </x:top>
      <x:bottom style="thin">
        <x:color rgb="FF2457A7"/>
      </x:bottom>
    </x:border>
    <x:border>
      <x:right style="thin">
        <x:color rgb="FF2457A7"/>
      </x:right>
      <x:top style="thin">
        <x:color rgb="FF2457A7"/>
      </x:top>
      <x:bottom style="thin">
        <x:color rgb="FF2457A7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medium">
        <x:color rgb="FF1F7A4D"/>
      </x:left>
      <x:top style="medium">
        <x:color rgb="FF1F7A4D"/>
      </x:top>
      <x:bottom style="medium">
        <x:color rgb="FF1F7A4D"/>
      </x:bottom>
    </x:border>
    <x:border>
      <x:right style="medium">
        <x:color rgb="FF1F7A4D"/>
      </x:right>
      <x:top style="medium">
        <x:color rgb="FF1F7A4D"/>
      </x:top>
      <x:bottom style="medium">
        <x:color rgb="FF1F7A4D"/>
      </x:bottom>
    </x:border>
    <x:border>
      <x:right style="thin">
        <x:color rgb="FF36506D"/>
      </x:right>
    </x:border>
    <x:border>
      <x:left style="thin">
        <x:color rgb="FF36506D"/>
      </x:left>
      <x:right style="thin">
        <x:color rgb="FF36506D"/>
      </x:right>
    </x:border>
    <x:border>
      <x:left style="thin">
        <x:color rgb="FF36506D"/>
      </x:left>
    </x:border>
  </x:borders>
  <x:cellStyleXfs count="1">
    <x:xf numFmtId="0" fontId="0" fillId="0" borderId="0"/>
  </x:cellStyleXfs>
  <x:cellXfs count="1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1" fontId="5" fillId="0" borderId="11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3" fillId="2" borderId="0" xfId="0" applyNumberFormat="1" applyFont="1" applyFill="1" applyBorder="1"/>
    <x:xf numFmtId="201" fontId="0" fillId="0" borderId="8" xfId="0" applyNumberFormat="1" applyFont="1" applyFill="1" applyBorder="1"/>
    <x:xf numFmtId="0" fontId="0" fillId="6" borderId="11" xfId="0" applyNumberFormat="1" applyFont="1" applyFill="1" applyBorder="1"/>
    <x:xf numFmtId="0" fontId="8" fillId="6" borderId="1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3" fillId="0" borderId="4" xfId="0" applyNumberFormat="1" applyFont="1" applyFill="1" applyBorder="1" applyAlignment="1">
      <x:alignment vertical="center"/>
    </x:xf>
    <x:xf numFmtId="200" fontId="14" fillId="0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/>
    </x:xf>
    <x:xf numFmtId="0" fontId="15" fillId="0" borderId="5" xfId="0" applyNumberFormat="1" applyFont="1" applyFill="1" applyBorder="1" applyAlignment="1">
      <x:alignment vertical="center" wrapText="1"/>
    </x:xf>
    <x:xf numFmtId="0" fontId="15" fillId="0" borderId="6" xfId="0" applyNumberFormat="1" applyFont="1" applyFill="1" applyBorder="1" applyAlignment="1">
      <x:alignment vertical="center" wrapText="1"/>
    </x:xf>
    <x:xf numFmtId="0" fontId="13" fillId="0" borderId="7" xfId="0" applyNumberFormat="1" applyFont="1" applyFill="1" applyBorder="1" applyAlignment="1">
      <x:alignment vertical="center"/>
    </x:xf>
    <x:xf numFmtId="200" fontId="14" fillId="0" borderId="8" xfId="0" applyNumberFormat="1" applyFont="1" applyFill="1" applyBorder="1" applyAlignment="1">
      <x:alignment vertical="center"/>
    </x:xf>
    <x:xf numFmtId="0" fontId="11" fillId="0" borderId="8" xfId="0" applyNumberFormat="1" applyFont="1" applyFill="1" applyBorder="1" applyAlignment="1">
      <x:alignment vertical="center"/>
    </x:xf>
    <x:xf numFmtId="0" fontId="15" fillId="0" borderId="8" xfId="0" applyNumberFormat="1" applyFont="1" applyFill="1" applyBorder="1" applyAlignment="1">
      <x:alignment vertical="center" wrapText="1"/>
    </x:xf>
    <x:xf numFmtId="0" fontId="15" fillId="0" borderId="9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/>
    </x:xf>
    <x:xf numFmtId="201" fontId="14" fillId="0" borderId="11" xfId="0" applyNumberFormat="1" applyFont="1" applyFill="1" applyBorder="1" applyAlignment="1">
      <x:alignment vertical="center"/>
    </x:xf>
    <x:xf numFmtId="0" fontId="11" fillId="0" borderId="11" xfId="0" applyNumberFormat="1" applyFont="1" applyFill="1" applyBorder="1" applyAlignment="1">
      <x:alignment vertical="center"/>
    </x:xf>
    <x:xf numFmtId="0" fontId="15" fillId="0" borderId="11" xfId="0" applyNumberFormat="1" applyFont="1" applyFill="1" applyBorder="1" applyAlignment="1">
      <x:alignment vertical="center" wrapText="1"/>
    </x:xf>
    <x:xf numFmtId="0" fontId="15" fillId="0" borderId="12" xfId="0" applyNumberFormat="1" applyFont="1" applyFill="1" applyBorder="1" applyAlignment="1">
      <x:alignment vertical="center" wrapText="1"/>
    </x:xf>
    <x:xf numFmtId="0" fontId="16" fillId="5" borderId="13" xfId="0" applyNumberFormat="1" applyFont="1" applyFill="1" applyBorder="1"/>
    <x:xf numFmtId="0" fontId="16" fillId="5" borderId="14" xfId="0" applyNumberFormat="1" applyFont="1" applyFill="1" applyBorder="1"/>
    <x:xf numFmtId="0" fontId="12" fillId="2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201" fontId="11" fillId="0" borderId="8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10" xfId="0" applyNumberFormat="1" applyFont="1" applyFill="1" applyBorder="1"/>
    <x:xf numFmtId="201" fontId="11" fillId="0" borderId="11" xfId="0" applyNumberFormat="1" applyFont="1" applyFill="1" applyBorder="1"/>
    <x:xf numFmtId="0" fontId="17" fillId="6" borderId="11" xfId="0" applyNumberFormat="1" applyFont="1" applyFill="1" applyBorder="1"/>
    <x:xf numFmtId="0" fontId="11" fillId="0" borderId="12" xfId="0" applyNumberFormat="1" applyFont="1" applyFill="1" applyBorder="1"/>
    <x:xf numFmtId="0" fontId="12" fillId="7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2" fillId="4" borderId="2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 applyAlignment="1">
      <x:alignment vertical="center"/>
    </x:xf>
    <x:xf numFmtId="0" fontId="16" fillId="5" borderId="13" xfId="0" applyNumberFormat="1" applyFont="1" applyFill="1" applyBorder="1" applyAlignment="1">
      <x:alignment vertical="center"/>
    </x:xf>
    <x:xf numFmtId="0" fontId="16" fillId="5" borderId="14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/>
    </x:xf>
    <x:xf numFmtId="0" fontId="11" fillId="0" borderId="7" xfId="0" applyNumberFormat="1" applyFont="1" applyFill="1" applyBorder="1" applyAlignment="1">
      <x:alignment vertical="center"/>
    </x:xf>
    <x:xf numFmtId="201" fontId="11" fillId="0" borderId="8" xfId="0" applyNumberFormat="1" applyFont="1" applyFill="1" applyBorder="1" applyAlignment="1">
      <x:alignment vertical="center"/>
    </x:xf>
    <x:xf numFmtId="0" fontId="11" fillId="0" borderId="9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201" fontId="11" fillId="0" borderId="11" xfId="0" applyNumberFormat="1" applyFont="1" applyFill="1" applyBorder="1" applyAlignment="1">
      <x:alignment vertical="center"/>
    </x:xf>
    <x:xf numFmtId="0" fontId="17" fillId="6" borderId="11" xfId="0" applyNumberFormat="1" applyFont="1" applyFill="1" applyBorder="1" applyAlignment="1">
      <x:alignment vertical="center"/>
    </x:xf>
    <x:xf numFmtId="0" fontId="11" fillId="0" borderId="12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2" fillId="2" borderId="15" xfId="0" applyNumberFormat="1" applyFont="1" applyFill="1" applyBorder="1"/>
    <x:xf numFmtId="0" fontId="12" fillId="2" borderId="16" xfId="0" applyNumberFormat="1" applyFont="1" applyFill="1" applyBorder="1"/>
    <x:xf numFmtId="0" fontId="12" fillId="2" borderId="17" xfId="0" applyNumberFormat="1" applyFont="1" applyFill="1" applyBorder="1"/>
    <x:xf numFmtId="0" fontId="12" fillId="2" borderId="15" xfId="0" applyNumberFormat="1" applyFont="1" applyFill="1" applyBorder="1" applyAlignment="1">
      <x:alignment wrapText="1"/>
    </x:xf>
    <x:xf numFmtId="0" fontId="12" fillId="2" borderId="16" xfId="0" applyNumberFormat="1" applyFont="1" applyFill="1" applyBorder="1" applyAlignment="1">
      <x:alignment wrapText="1"/>
    </x:xf>
    <x:xf numFmtId="0" fontId="12" fillId="2" borderId="17" xfId="0" applyNumberFormat="1" applyFont="1" applyFill="1" applyBorder="1" applyAlignment="1">
      <x:alignment wrapText="1"/>
    </x:xf>
    <x:xf numFmtId="0" fontId="12" fillId="2" borderId="15" xfId="0" applyNumberFormat="1" applyFont="1" applyFill="1" applyBorder="1" applyAlignment="1">
      <x:alignment vertical="center" wrapText="1"/>
    </x:xf>
    <x:xf numFmtId="0" fontId="12" fillId="2" borderId="16" xfId="0" applyNumberFormat="1" applyFont="1" applyFill="1" applyBorder="1" applyAlignment="1">
      <x:alignment vertical="center" wrapText="1"/>
    </x:xf>
    <x:xf numFmtId="0" fontId="12" fillId="2" borderId="17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4" xfId="0" applyNumberFormat="1" applyFont="1" applyFill="1" applyBorder="1"/>
    <x:xf numFmtId="0" fontId="18" fillId="0" borderId="5" xfId="0" applyNumberFormat="1" applyFont="1" applyFill="1" applyBorder="1"/>
    <x:xf numFmtId="0" fontId="18" fillId="0" borderId="6" xfId="0" applyNumberFormat="1" applyFont="1" applyFill="1" applyBorder="1"/>
    <x:xf numFmtId="0" fontId="18" fillId="0" borderId="7" xfId="0" applyNumberFormat="1" applyFont="1" applyFill="1" applyBorder="1"/>
    <x:xf numFmtId="0" fontId="18" fillId="0" borderId="8" xfId="0" applyNumberFormat="1" applyFont="1" applyFill="1" applyBorder="1"/>
    <x:xf numFmtId="0" fontId="18" fillId="0" borderId="9" xfId="0" applyNumberFormat="1" applyFont="1" applyFill="1" applyBorder="1"/>
    <x:xf numFmtId="0" fontId="18" fillId="0" borderId="10" xfId="0" applyNumberFormat="1" applyFont="1" applyFill="1" applyBorder="1"/>
    <x:xf numFmtId="0" fontId="18" fillId="0" borderId="11" xfId="0" applyNumberFormat="1" applyFont="1" applyFill="1" applyBorder="1"/>
    <x:xf numFmtId="0" fontId="18" fillId="0" borderId="12" xfId="0" applyNumberFormat="1" applyFont="1" applyFill="1" applyBorder="1"/>
    <x:xf numFmtId="0" fontId="18" fillId="0" borderId="4" xfId="0" applyNumberFormat="1" applyFont="1" applyFill="1" applyBorder="1" applyAlignment="1">
      <x:alignment vertical="top"/>
    </x:xf>
    <x:xf numFmtId="0" fontId="18" fillId="0" borderId="5" xfId="0" applyNumberFormat="1" applyFont="1" applyFill="1" applyBorder="1" applyAlignment="1">
      <x:alignment vertical="top"/>
    </x:xf>
    <x:xf numFmtId="0" fontId="18" fillId="0" borderId="6" xfId="0" applyNumberFormat="1" applyFont="1" applyFill="1" applyBorder="1" applyAlignment="1">
      <x:alignment vertical="top"/>
    </x:xf>
    <x:xf numFmtId="0" fontId="18" fillId="0" borderId="7" xfId="0" applyNumberFormat="1" applyFont="1" applyFill="1" applyBorder="1" applyAlignment="1">
      <x:alignment vertical="top"/>
    </x:xf>
    <x:xf numFmtId="0" fontId="18" fillId="0" borderId="8" xfId="0" applyNumberFormat="1" applyFont="1" applyFill="1" applyBorder="1" applyAlignment="1">
      <x:alignment vertical="top"/>
    </x:xf>
    <x:xf numFmtId="0" fontId="18" fillId="0" borderId="9" xfId="0" applyNumberFormat="1" applyFont="1" applyFill="1" applyBorder="1" applyAlignment="1">
      <x:alignment vertical="top"/>
    </x:xf>
    <x:xf numFmtId="0" fontId="18" fillId="0" borderId="10" xfId="0" applyNumberFormat="1" applyFont="1" applyFill="1" applyBorder="1" applyAlignment="1">
      <x:alignment vertical="top"/>
    </x:xf>
    <x:xf numFmtId="0" fontId="18" fillId="0" borderId="11" xfId="0" applyNumberFormat="1" applyFont="1" applyFill="1" applyBorder="1" applyAlignment="1">
      <x:alignment vertical="top"/>
    </x:xf>
    <x:xf numFmtId="0" fontId="18" fillId="0" borderId="12" xfId="0" applyNumberFormat="1" applyFont="1" applyFill="1" applyBorder="1" applyAlignment="1">
      <x:alignment vertical="top"/>
    </x:xf>
    <x:xf numFmtId="0" fontId="18" fillId="0" borderId="4" xfId="0" applyNumberFormat="1" applyFont="1" applyFill="1" applyBorder="1" applyAlignment="1">
      <x:alignment vertical="top" wrapText="1"/>
    </x:xf>
    <x:xf numFmtId="0" fontId="18" fillId="0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 applyAlignment="1">
      <x:alignment vertical="top" wrapText="1"/>
    </x:xf>
    <x:xf numFmtId="0" fontId="18" fillId="0" borderId="7" xfId="0" applyNumberFormat="1" applyFont="1" applyFill="1" applyBorder="1" applyAlignment="1">
      <x:alignment vertical="top" wrapText="1"/>
    </x:xf>
    <x:xf numFmtId="0" fontId="18" fillId="0" borderId="8" xfId="0" applyNumberFormat="1" applyFont="1" applyFill="1" applyBorder="1" applyAlignment="1">
      <x:alignment vertical="top" wrapText="1"/>
    </x:xf>
    <x:xf numFmtId="0" fontId="18" fillId="0" borderId="9" xfId="0" applyNumberFormat="1" applyFont="1" applyFill="1" applyBorder="1" applyAlignment="1">
      <x:alignment vertical="top" wrapText="1"/>
    </x:xf>
    <x:xf numFmtId="0" fontId="18" fillId="0" borderId="10" xfId="0" applyNumberFormat="1" applyFont="1" applyFill="1" applyBorder="1" applyAlignment="1">
      <x:alignment vertical="top" wrapText="1"/>
    </x:xf>
    <x:xf numFmtId="0" fontId="18" fillId="0" borderId="11" xfId="0" applyNumberFormat="1" applyFont="1" applyFill="1" applyBorder="1" applyAlignment="1">
      <x:alignment vertical="top" wrapText="1"/>
    </x:xf>
    <x:xf numFmtId="0" fontId="18" fillId="0" borderId="12" xfId="0" applyNumberFormat="1" applyFont="1" applyFill="1" applyBorder="1" applyAlignment="1">
      <x:alignment vertical="top" wrapText="1"/>
    </x:xf>
    <x:xf numFmtId="202" fontId="18" fillId="0" borderId="5" xfId="0" applyNumberFormat="1" applyFont="1" applyFill="1" applyBorder="1" applyAlignment="1">
      <x:alignment vertical="top" wrapText="1"/>
    </x:xf>
    <x:xf numFmtId="202" fontId="18" fillId="0" borderId="8" xfId="0" applyNumberFormat="1" applyFont="1" applyFill="1" applyBorder="1" applyAlignment="1">
      <x:alignment vertical="top" wrapText="1"/>
    </x:xf>
    <x:xf numFmtId="202" fontId="18" fillId="0" borderId="11" xfId="0" applyNumberFormat="1" applyFont="1" applyFill="1" applyBorder="1" applyAlignment="1">
      <x:alignment vertical="top" wrapText="1"/>
    </x:xf>
    <x:xf numFmtId="201" fontId="18" fillId="0" borderId="5" xfId="0" applyNumberFormat="1" applyFont="1" applyFill="1" applyBorder="1" applyAlignment="1">
      <x:alignment vertical="top" wrapText="1"/>
    </x:xf>
    <x:xf numFmtId="201" fontId="18" fillId="0" borderId="8" xfId="0" applyNumberFormat="1" applyFont="1" applyFill="1" applyBorder="1" applyAlignment="1">
      <x:alignment vertical="top" wrapText="1"/>
    </x:xf>
    <x:xf numFmtId="201" fontId="18" fillId="0" borderId="11" xfId="0" applyNumberFormat="1" applyFont="1" applyFill="1" applyBorder="1" applyAlignment="1">
      <x:alignment vertical="top" wrapText="1"/>
    </x:xf>
    <x:xf numFmtId="200" fontId="18" fillId="0" borderId="5" xfId="0" applyNumberFormat="1" applyFont="1" applyFill="1" applyBorder="1" applyAlignment="1">
      <x:alignment vertical="top" wrapText="1"/>
    </x:xf>
    <x:xf numFmtId="200" fontId="18" fillId="0" borderId="6" xfId="0" applyNumberFormat="1" applyFont="1" applyFill="1" applyBorder="1" applyAlignment="1">
      <x:alignment vertical="top" wrapText="1"/>
    </x:xf>
    <x:xf numFmtId="200" fontId="18" fillId="0" borderId="8" xfId="0" applyNumberFormat="1" applyFont="1" applyFill="1" applyBorder="1" applyAlignment="1">
      <x:alignment vertical="top" wrapText="1"/>
    </x:xf>
    <x:xf numFmtId="200" fontId="18" fillId="0" borderId="9" xfId="0" applyNumberFormat="1" applyFont="1" applyFill="1" applyBorder="1" applyAlignment="1">
      <x:alignment vertical="top" wrapText="1"/>
    </x:xf>
    <x:xf numFmtId="200" fontId="18" fillId="0" borderId="11" xfId="0" applyNumberFormat="1" applyFont="1" applyFill="1" applyBorder="1" applyAlignment="1">
      <x:alignment vertical="top" wrapText="1"/>
    </x:xf>
    <x:xf numFmtId="200" fontId="18" fillId="0" borderId="12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F7A4D"/>
      </x:font>
      <x:fill>
        <x:patternFill patternType="solid">
          <x:bgColor rgb="FFE7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a24d165b94123" /><Relationship Type="http://schemas.openxmlformats.org/officeDocument/2006/relationships/theme" Target="/xl/theme/theme1.xml" Id="R8c5a430d604a4d9c" /><Relationship Type="http://schemas.openxmlformats.org/officeDocument/2006/relationships/sharedStrings" Target="/xl/sharedStrings.xml" Id="Rd63535b6e69a466c" /><Relationship Type="http://schemas.openxmlformats.org/officeDocument/2006/relationships/worksheet" Target="/xl/worksheets/sheet1.xml" Id="R38561690e5b3453a" /><Relationship Type="http://schemas.openxmlformats.org/officeDocument/2006/relationships/worksheet" Target="/xl/worksheets/sheet2.xml" Id="R52afe96f5e5e4bfd" /><Relationship Type="http://schemas.openxmlformats.org/officeDocument/2006/relationships/worksheet" Target="/xl/worksheets/sheet3.xml" Id="Rbfffc83ff5034f95" /><Relationship Type="http://schemas.openxmlformats.org/officeDocument/2006/relationships/worksheet" Target="/xl/worksheets/sheet4.xml" Id="Ra4207b86ef384e8f" /><Relationship Type="http://schemas.openxmlformats.org/officeDocument/2006/relationships/worksheet" Target="/xl/worksheets/sheet5.xml" Id="R19d31aad36c54565" /><Relationship Type="http://schemas.openxmlformats.org/officeDocument/2006/relationships/worksheet" Target="/xl/worksheets/sheet6.xml" Id="R5b80f5d30ddc4ae4" /><Relationship Type="http://schemas.openxmlformats.org/officeDocument/2006/relationships/worksheet" Target="/xl/worksheets/sheet7.xml" Id="Rc417e6255cf04bff" /><Relationship Type="http://schemas.openxmlformats.org/officeDocument/2006/relationships/worksheet" Target="/xl/worksheets/sheet8.xml" Id="R696c6ff952b6406e" /><Relationship Type="http://schemas.openxmlformats.org/officeDocument/2006/relationships/worksheet" Target="/xl/worksheets/sheet9.xml" Id="R2df56bc4f07f4730" /><Relationship Type="http://schemas.microsoft.com/office/2017/10/relationships/person" Target="/xl/persons/person.xml" Id="R8d4bab9ba5c74076" /></Relationships>
</file>

<file path=xl/persons/person.xml><?xml version="1.0" encoding="utf-8"?>
<xltc:personList xmlns:xltc="http://schemas.microsoft.com/office/spreadsheetml/2018/threadedcomments">
  <xltc:person displayName="User" id="{7FE3FEC8-F9B5-462E-BF6A-78C2C5F0C6B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7-17T11:45:39.267" personId="{7FE3FEC8-F9B5-462E-BF6A-78C2C5F0C6BD}" id="{BFE45336-1CCF-91E8-4627-E4DDC54F3C71}">
    <xltc:text>Sources: https://www.douane.gouv.fr/la-douane/opendata?f%5B0%5D=categorie_opendata_facet%3A458&amp;title= and https://ec.europa.eu/eurostat/api/comext/dissemination/statistics/1.0/data/DS-045409?freq=A&amp;reporter=FR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ltc:text>
  </xltc:threadedComment>
  <xltc:threadedComment ref="B10" dT="2026-07-17T11:45:39.267" personId="{7FE3FEC8-F9B5-462E-BF6A-78C2C5F0C6BD}" id="{2458C578-D98B-5A01-B869-87489008A9EC}">
    <xltc:text>Source: https://www.data.gouv.fr/en/datasets/produits-du-tabac-et-produits-connexes-declares-sur-le-marche-francais/. Registry records are not sales or active SKU counts.</xltc:text>
  </xltc:threadedComment>
  <xltc:threadedComment ref="B11" dT="2026-07-17T11:45:39.267" personId="{7FE3FEC8-F9B5-462E-BF6A-78C2C5F0C6BD}" id="{2C7A6754-E520-185F-9D59-DB850C490BA1}">
    <xltc:text>Source: https://www.anses.fr/fr/system/files/CONSO2018SA0189Ra-2.pdf. Published 2016-2017 expected-versus-transmitted presentation counts.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5" dT="2026-07-17T11:45:39.267" personId="{7FE3FEC8-F9B5-462E-BF6A-78C2C5F0C6BD}" id="{2C62A0BD-001B-5861-CAE8-F63B9CD2C373}">
    <xltc:text>Exact Eurostat DS-045409 API query: https://ec.europa.eu/eurostat/api/comext/dissemination/statistics/1.0/data/DS-045409?freq=A&amp;reporter=FR&amp;partner=WORLD&amp;partner=INT_EU27_2020&amp;partner=EXT_EU27_2020&amp;product=85434000&amp;product=24041200&amp;product=24041910&amp;product=24041990&amp;flow=1&amp;flow=2&amp;indicators=VALUE_IN_EUROS&amp;indicators=QUANTITY_IN_100KG&amp;indicators=SUPPLEMENTARY_QUANTITY&amp;time=2025&amp;lang=en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25ee65aeb6f4481" /><Relationship Type="http://schemas.openxmlformats.org/officeDocument/2006/relationships/vmlDrawing" Target="/xl/drawings/vmldrawing.vml" Id="R1bb3c70bb8f24f44" /><Relationship Type="http://schemas.microsoft.com/office/2017/10/relationships/threadedComment" Target="/xl/threadedcomments/threadedcomment.xml" Id="Raa2c3d255c454e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2.xml" Id="R4fa011e5a0c84f47" /><Relationship Type="http://schemas.openxmlformats.org/officeDocument/2006/relationships/vmlDrawing" Target="/xl/drawings/vmldrawing2.vml" Id="Rfae1272ca75e4e7c" /><Relationship Type="http://schemas.microsoft.com/office/2017/10/relationships/threadedComment" Target="/xl/threadedcomments/threadedcomment2.xml" Id="R454f1f11e1454f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Pixan | France official evidence workbook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3">
      <x:c r="A3" s="72" t="str">
        <x:v>2025 border trade, origin-versus-consignment routing and ANSES declaration coverage | as of 2026-07-17</x:v>
      </x:c>
      <x:c r="B3" s="72"/>
      <x:c r="C3" s="72"/>
      <x:c r="D3" s="72"/>
      <x:c r="E3" s="72"/>
      <x:c r="F3" s="72"/>
      <x:c r="G3" s="72"/>
      <x:c r="H3" s="72"/>
    </x:row>
    <x:row r="4">
      <x:c r="A4" s="109"/>
      <x:c r="B4" s="109"/>
      <x:c r="C4" s="109"/>
      <x:c r="D4" s="109"/>
      <x:c r="E4" s="109"/>
      <x:c r="F4" s="109"/>
      <x:c r="G4" s="109"/>
      <x:c r="H4" s="109"/>
    </x:row>
    <x:row r="5">
      <x:c r="A5" s="110" t="str">
        <x:v>Key evidence</x:v>
      </x:c>
      <x:c r="B5" s="111" t="str">
        <x:v>Value</x:v>
      </x:c>
      <x:c r="C5" s="111" t="str">
        <x:v>Unit</x:v>
      </x:c>
      <x:c r="D5" s="111" t="str">
        <x:v>Interpretation</x:v>
      </x:c>
      <x:c r="E5" s="111"/>
      <x:c r="F5" s="111"/>
      <x:c r="G5" s="111"/>
      <x:c r="H5" s="112"/>
    </x:row>
    <x:row r="6">
      <x:c r="A6" s="77" t="str">
        <x:v>Four-code Douane imports</x:v>
      </x:c>
      <x:c r="B6" s="78" t="n">
        <x:f>SUM('Customs'!E2:E5)</x:f>
        <x:v>363939981</x:v>
      </x:c>
      <x:c r="C6" s="79" t="str">
        <x:v>EUR</x:v>
      </x:c>
      <x:c r="D6" s="80" t="str">
        <x:v>Official national customs border value; not retail sales.</x:v>
      </x:c>
      <x:c r="E6" s="80"/>
      <x:c r="F6" s="80"/>
      <x:c r="G6" s="80"/>
      <x:c r="H6" s="81"/>
    </x:row>
    <x:row r="7">
      <x:c r="A7" s="82" t="str">
        <x:v>Four-code Douane exports</x:v>
      </x:c>
      <x:c r="B7" s="83" t="n">
        <x:f>SUM('Customs'!F2:F5)</x:f>
        <x:v>127863384</x:v>
      </x:c>
      <x:c r="C7" s="84" t="str">
        <x:v>EUR</x:v>
      </x:c>
      <x:c r="D7" s="85" t="str">
        <x:v>Exports include national goods and re-exports; final destination basis.</x:v>
      </x:c>
      <x:c r="E7" s="85"/>
      <x:c r="F7" s="85"/>
      <x:c r="G7" s="85"/>
      <x:c r="H7" s="86"/>
    </x:row>
    <x:row r="8">
      <x:c r="A8" s="82" t="str">
        <x:v>Four-code border net imports</x:v>
      </x:c>
      <x:c r="B8" s="83" t="n">
        <x:f>B6-B7</x:f>
        <x:v>236076597</x:v>
      </x:c>
      <x:c r="C8" s="84" t="str">
        <x:v>EUR</x:v>
      </x:c>
      <x:c r="D8" s="85" t="str">
        <x:v>Imports minus exports; not apparent consumption without production and inventory.</x:v>
      </x:c>
      <x:c r="E8" s="85"/>
      <x:c r="F8" s="85"/>
      <x:c r="G8" s="85"/>
      <x:c r="H8" s="86"/>
    </x:row>
    <x:row r="9">
      <x:c r="A9" s="82" t="str">
        <x:v>Narrow 85434000 + 24041200 border net</x:v>
      </x:c>
      <x:c r="B9" s="83" t="n">
        <x:f>SUM('Customs'!E2:E3)-SUM('Customs'!F2:F3)</x:f>
        <x:v>229615309</x:v>
      </x:c>
      <x:c r="C9" s="84" t="str">
        <x:v>EUR</x:v>
      </x:c>
      <x:c r="D9" s="85" t="str">
        <x:v>Device code plus broad nicotine-inhalation proxy; still not consumer market value.</x:v>
      </x:c>
      <x:c r="E9" s="85"/>
      <x:c r="F9" s="85"/>
      <x:c r="G9" s="85"/>
      <x:c r="H9" s="86"/>
    </x:row>
    <x:row r="10">
      <x:c r="A10" s="82" t="str">
        <x:v>ANSES registry rows</x:v>
      </x:c>
      <x:c r="B10" s="83" t="n">
        <x:f>'ANSES Audit'!B2</x:f>
        <x:v>203181</x:v>
      </x:c>
      <x:c r="C10" s="84" t="str">
        <x:v>records</x:v>
      </x:c>
      <x:c r="D10" s="85" t="str">
        <x:v>Declared product records; not active SKUs, approvals, companies or units sold.</x:v>
      </x:c>
      <x:c r="E10" s="85"/>
      <x:c r="F10" s="85"/>
      <x:c r="G10" s="85"/>
      <x:c r="H10" s="86"/>
    </x:row>
    <x:row r="11">
      <x:c r="A11" s="87" t="str">
        <x:v>ANSES 2016-2017 sales-report hit rate</x:v>
      </x:c>
      <x:c r="B11" s="88" t="n">
        <x:f>'Sales Coverage'!E4</x:f>
        <x:v>0.35009650999999997</x:v>
      </x:c>
      <x:c r="C11" s="89" t="str">
        <x:v>%</x:v>
      </x:c>
      <x:c r="D11" s="90" t="str">
        <x:v>Coverage of expected product presentations; ANSES found sales volumes not exploitable.</x:v>
      </x:c>
      <x:c r="E11" s="90"/>
      <x:c r="F11" s="90"/>
      <x:c r="G11" s="90"/>
      <x:c r="H11" s="91"/>
    </x:row>
    <x:row r="12">
      <x:c r="A12" s="109"/>
      <x:c r="B12" s="109"/>
      <x:c r="C12" s="109"/>
      <x:c r="D12" s="109"/>
      <x:c r="E12" s="109"/>
      <x:c r="F12" s="109"/>
      <x:c r="G12" s="109"/>
      <x:c r="H12" s="109"/>
    </x:row>
    <x:row r="13">
      <x:c r="A13" s="113" t="str">
        <x:v>Model status</x:v>
      </x:c>
      <x:c r="B13" s="114" t="str">
        <x:f>IF(COUNTIF(F16:F19,"REVIEW")=0,"OK","REVIEW")</x:f>
        <x:v>OK</x:v>
      </x:c>
      <x:c r="C13" s="109"/>
      <x:c r="D13" s="109"/>
      <x:c r="E13" s="109"/>
      <x:c r="F13" s="109"/>
      <x:c r="G13" s="109"/>
      <x:c r="H13" s="109"/>
    </x:row>
    <x:row r="14">
      <x:c r="A14" s="109"/>
      <x:c r="B14" s="109"/>
      <x:c r="C14" s="109"/>
      <x:c r="D14" s="109"/>
      <x:c r="E14" s="109"/>
      <x:c r="F14" s="109"/>
      <x:c r="G14" s="109"/>
      <x:c r="H14" s="109"/>
    </x:row>
    <x:row r="15">
      <x:c r="A15" s="115" t="str">
        <x:v>Audit check</x:v>
      </x:c>
      <x:c r="B15" s="115" t="str">
        <x:v>Actual</x:v>
      </x:c>
      <x:c r="C15" s="115" t="str">
        <x:v>Expected</x:v>
      </x:c>
      <x:c r="D15" s="115" t="str">
        <x:v>Difference</x:v>
      </x:c>
      <x:c r="E15" s="115" t="str">
        <x:v>Tolerance</x:v>
      </x:c>
      <x:c r="F15" s="115" t="str">
        <x:v>Status</x:v>
      </x:c>
      <x:c r="G15" s="115" t="str">
        <x:v>Meaning</x:v>
      </x:c>
      <x:c r="H15" s="109"/>
    </x:row>
    <x:row r="16">
      <x:c r="A16" s="116" t="str">
        <x:v>Monthly detail rows</x:v>
      </x:c>
      <x:c r="B16" s="79" t="n">
        <x:f>COUNTA('Monthly'!A2:A49)</x:f>
        <x:v>48</x:v>
      </x:c>
      <x:c r="C16" s="79" t="n">
        <x:v>48</x:v>
      </x:c>
      <x:c r="D16" s="79" t="n">
        <x:f>B16-C16</x:f>
        <x:v>0</x:v>
      </x:c>
      <x:c r="E16" s="79" t="n">
        <x:v>0</x:v>
      </x:c>
      <x:c r="F16" s="79" t="str">
        <x:f>IF(ABS(D16)&lt;=E16,"OK","REVIEW")</x:f>
        <x:v>OK</x:v>
      </x:c>
      <x:c r="G16" s="117" t="str">
        <x:v>Four codes x 12 months</x:v>
      </x:c>
      <x:c r="H16" s="109"/>
    </x:row>
    <x:row r="17">
      <x:c r="A17" s="118" t="str">
        <x:v>Douane vs Eurostat import gap</x:v>
      </x:c>
      <x:c r="B17" s="119" t="n">
        <x:f>ABS(SUM('Customs'!S2:S5)/SUM('Customs'!Q2:Q5))</x:f>
        <x:v>0.0002991772575942656</x:v>
      </x:c>
      <x:c r="C17" s="119" t="n">
        <x:v>0</x:v>
      </x:c>
      <x:c r="D17" s="119" t="n">
        <x:f>B17-C17</x:f>
        <x:v>0.0002991772575942656</x:v>
      </x:c>
      <x:c r="E17" s="119" t="n">
        <x:v>0.005</x:v>
      </x:c>
      <x:c r="F17" s="84" t="str">
        <x:f>IF(ABS(D17)&lt;=E17,"OK","REVIEW")</x:f>
        <x:v>OK</x:v>
      </x:c>
      <x:c r="G17" s="120" t="str">
        <x:v>Cross-system tolerance 0.5%</x:v>
      </x:c>
      <x:c r="H17" s="109"/>
    </x:row>
    <x:row r="18">
      <x:c r="A18" s="118" t="str">
        <x:v>Douane vs Eurostat export gap</x:v>
      </x:c>
      <x:c r="B18" s="119" t="n">
        <x:f>ABS(SUM('Customs'!U2:U5)/SUM('Customs'!R2:R5))</x:f>
        <x:v>0.004488600271339867</x:v>
      </x:c>
      <x:c r="C18" s="119" t="n">
        <x:v>0</x:v>
      </x:c>
      <x:c r="D18" s="119" t="n">
        <x:f>B18-C18</x:f>
        <x:v>0.004488600271339867</x:v>
      </x:c>
      <x:c r="E18" s="119" t="n">
        <x:v>0.005</x:v>
      </x:c>
      <x:c r="F18" s="84" t="str">
        <x:f>IF(ABS(D18)&lt;=E18,"OK","REVIEW")</x:f>
        <x:v>OK</x:v>
      </x:c>
      <x:c r="G18" s="120" t="str">
        <x:v>Cross-system tolerance 0.5%</x:v>
      </x:c>
      <x:c r="H18" s="109"/>
    </x:row>
    <x:row r="19">
      <x:c r="A19" s="118" t="str">
        <x:v>Eurostat WORLD less intra + extra</x:v>
      </x:c>
      <x:c r="B19" s="84" t="n">
        <x:f>SUM('Route Bridge'!J2:J5)</x:f>
        <x:v>0</x:v>
      </x:c>
      <x:c r="C19" s="84" t="n">
        <x:v>0</x:v>
      </x:c>
      <x:c r="D19" s="84" t="n">
        <x:f>B19-C19</x:f>
        <x:v>0</x:v>
      </x:c>
      <x:c r="E19" s="84" t="n">
        <x:v>0</x:v>
      </x:c>
      <x:c r="F19" s="84" t="str">
        <x:f>IF(ABS(D19)&lt;=E19,"OK","REVIEW")</x:f>
        <x:v>OK</x:v>
      </x:c>
      <x:c r="G19" s="120" t="str">
        <x:v>Route components must reconcile</x:v>
      </x:c>
      <x:c r="H19" s="109"/>
    </x:row>
    <x:row r="20">
      <x:c r="A20" s="121" t="str">
        <x:v>ANSES historical sales-report coverage</x:v>
      </x:c>
      <x:c r="B20" s="122" t="n">
        <x:f>B11</x:f>
        <x:v>0.35009650999999997</x:v>
      </x:c>
      <x:c r="C20" s="122" t="n">
        <x:v>1</x:v>
      </x:c>
      <x:c r="D20" s="122" t="n">
        <x:f>B20-C20</x:f>
        <x:v>-0.64990349</x:v>
      </x:c>
      <x:c r="E20" s="122" t="n">
        <x:v>0</x:v>
      </x:c>
      <x:c r="F20" s="123" t="str">
        <x:v>LIMITATION</x:v>
      </x:c>
      <x:c r="G20" s="124" t="str">
        <x:v>35.0% coverage is not adequate for a market total</x:v>
      </x:c>
      <x:c r="H20" s="109"/>
    </x:row>
    <x:row r="21">
      <x:c r="A21" s="109"/>
      <x:c r="B21" s="109"/>
      <x:c r="C21" s="109"/>
      <x:c r="D21" s="109"/>
      <x:c r="E21" s="109"/>
      <x:c r="F21" s="109"/>
      <x:c r="G21" s="109"/>
      <x:c r="H21" s="109"/>
    </x:row>
    <x:row r="22">
      <x:c r="A22" s="125" t="str">
        <x:v>Evidence boundary</x:v>
      </x:c>
      <x:c r="B22" s="125"/>
      <x:c r="C22" s="125"/>
      <x:c r="D22" s="125"/>
      <x:c r="E22" s="125"/>
      <x:c r="F22" s="125"/>
      <x:c r="G22" s="125"/>
      <x:c r="H22" s="125"/>
    </x:row>
    <x:row r="23">
      <x:c r="A23" s="126" t="str">
        <x:v>• Customs values measure goods crossing the border. They do not include French production, inventories, retail margins, VAT or illicit sales.</x:v>
      </x:c>
      <x:c r="B23" s="126"/>
      <x:c r="C23" s="126"/>
      <x:c r="D23" s="126"/>
      <x:c r="E23" s="126"/>
      <x:c r="F23" s="126"/>
      <x:c r="G23" s="126"/>
      <x:c r="H23" s="126"/>
    </x:row>
    <x:row r="24">
      <x:c r="A24" s="127" t="str">
        <x:v>• The selected CN8 codes have no supplementary unit. Kilograms are not converted to devices or e-liquid millilitres.</x:v>
      </x:c>
      <x:c r="B24" s="127"/>
      <x:c r="C24" s="127"/>
      <x:c r="D24" s="127"/>
      <x:c r="E24" s="127"/>
      <x:c r="F24" s="127"/>
      <x:c r="G24" s="127"/>
      <x:c r="H24" s="127"/>
    </x:row>
    <x:row r="25">
      <x:c r="A25" s="126" t="str">
        <x:v>• French national imports identify origin; Eurostat intra-EU imports identify Member State of consignment. The resulting gap is routing sensitivity, not exact re-export.</x:v>
      </x:c>
      <x:c r="B25" s="126"/>
      <x:c r="C25" s="126"/>
      <x:c r="D25" s="126"/>
      <x:c r="E25" s="126"/>
      <x:c r="F25" s="126"/>
      <x:c r="G25" s="126"/>
      <x:c r="H25" s="126"/>
    </x:row>
    <x:row r="26">
      <x:c r="A26" s="127" t="str">
        <x:v>• ANSES open data contains declared product characteristics but no public annual sales field. Registry counts are not sales-weighted.</x:v>
      </x:c>
      <x:c r="B26" s="127"/>
      <x:c r="C26" s="127"/>
      <x:c r="D26" s="127"/>
      <x:c r="E26" s="127"/>
      <x:c r="F26" s="127"/>
      <x:c r="G26" s="127"/>
      <x:c r="H26" s="127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G15:H15"/>
    <x:mergeCell ref="G16:H16"/>
    <x:mergeCell ref="G17:H17"/>
    <x:mergeCell ref="G18:H18"/>
    <x:mergeCell ref="G19:H19"/>
    <x:mergeCell ref="G20:H20"/>
    <x:mergeCell ref="A22:H22"/>
    <x:mergeCell ref="A23:H23"/>
    <x:mergeCell ref="A24:H24"/>
    <x:mergeCell ref="A25:H25"/>
    <x:mergeCell ref="A26:H26"/>
  </x:mergeCells>
  <x:conditionalFormatting sqref="F16:F19">
    <x:cfRule type="expression" dxfId="0" priority="1">
      <x:formula>F16="OK"</x:formula>
    </x:cfRule>
    <x:cfRule type="expression" dxfId="1" priority="2">
      <x:formula>F16="REVIEW"</x:formula>
    </x:cfRule>
  </x:conditionalFormatting>
  <x:pageMargins left="0.7" right="0.7" top="0.75" bottom="0.75" header="0.3" footer="0.3"/>
  <x:legacyDrawing xmlns:r="http://schemas.openxmlformats.org/officeDocument/2006/relationships" r:id="R1bb3c70bb8f24f4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30" hidden="0" customWidth="1"/>
    <x:col min="24" max="24" width="30" hidden="0" customWidth="1"/>
  </x:cols>
  <x:sheetData>
    <x:row r="1" ht="52.79999923706055" hidden="0" customHeight="1">
      <x:c r="A1" s="134" t="str">
        <x:v>year</x:v>
      </x:c>
      <x:c r="B1" s="135" t="str">
        <x:v>cn8</x:v>
      </x:c>
      <x:c r="C1" s="135" t="str">
        <x:v>scope</x:v>
      </x:c>
      <x:c r="D1" s="135" t="str">
        <x:v>official_label_fr</x:v>
      </x:c>
      <x:c r="E1" s="135" t="str">
        <x:v>douane_import_eur</x:v>
      </x:c>
      <x:c r="F1" s="135" t="str">
        <x:v>douane_export_eur</x:v>
      </x:c>
      <x:c r="G1" s="135" t="str">
        <x:v>border_net_import_eur</x:v>
      </x:c>
      <x:c r="H1" s="135" t="str">
        <x:v>douane_import_kg</x:v>
      </x:c>
      <x:c r="I1" s="135" t="str">
        <x:v>douane_export_kg</x:v>
      </x:c>
      <x:c r="J1" s="135" t="str">
        <x:v>douane_import_rows</x:v>
      </x:c>
      <x:c r="K1" s="135" t="str">
        <x:v>douane_export_rows</x:v>
      </x:c>
      <x:c r="L1" s="135" t="str">
        <x:v>eu27_or_fr_origin_import_eur</x:v>
      </x:c>
      <x:c r="M1" s="135" t="str">
        <x:v>known_non_eu_origin_import_eur</x:v>
      </x:c>
      <x:c r="N1" s="135" t="str">
        <x:v>indeterminate_origin_import_eur</x:v>
      </x:c>
      <x:c r="O1" s="135" t="str">
        <x:v>china_origin_import_eur</x:v>
      </x:c>
      <x:c r="P1" s="135" t="str">
        <x:v>china_origin_share_pct</x:v>
      </x:c>
      <x:c r="Q1" s="135" t="str">
        <x:v>eurostat_world_import_eur</x:v>
      </x:c>
      <x:c r="R1" s="135" t="str">
        <x:v>eurostat_world_export_eur</x:v>
      </x:c>
      <x:c r="S1" s="135" t="str">
        <x:v>douane_vs_eurostat_import_gap_eur</x:v>
      </x:c>
      <x:c r="T1" s="135" t="str">
        <x:v>douane_vs_eurostat_import_gap_pct</x:v>
      </x:c>
      <x:c r="U1" s="135" t="str">
        <x:v>douane_vs_eurostat_export_gap_eur</x:v>
      </x:c>
      <x:c r="V1" s="135" t="str">
        <x:v>douane_vs_eurostat_export_gap_pct</x:v>
      </x:c>
      <x:c r="W1" s="135" t="str">
        <x:v>supplementary_unit_status</x:v>
      </x:c>
      <x:c r="X1" s="136" t="str">
        <x:v>boundary</x:v>
      </x:c>
    </x:row>
    <x:row r="2" ht="86.4000015258789" hidden="0" customHeight="1">
      <x:c r="A2" s="156" t="n">
        <x:v>2025</x:v>
      </x:c>
      <x:c r="B2" s="157" t="str">
        <x:v>85434000</x:v>
      </x:c>
      <x:c r="C2" s="157" t="str">
        <x:v>core_devices</x:v>
      </x:c>
      <x:c r="D2" s="157" t="str">
        <x:v>Cigarettes électroniques et dispositifs de vaporisation électriques personnels similaires</x:v>
      </x:c>
      <x:c r="E2" s="165" t="n">
        <x:v>191564950</x:v>
      </x:c>
      <x:c r="F2" s="165" t="n">
        <x:v>101383587</x:v>
      </x:c>
      <x:c r="G2" s="165" t="n">
        <x:v>90181363</x:v>
      </x:c>
      <x:c r="H2" s="165" t="n">
        <x:v>1975435</x:v>
      </x:c>
      <x:c r="I2" s="165" t="n">
        <x:v>1088504</x:v>
      </x:c>
      <x:c r="J2" s="165" t="n">
        <x:v>170</x:v>
      </x:c>
      <x:c r="K2" s="165" t="n">
        <x:v>478</x:v>
      </x:c>
      <x:c r="L2" s="165" t="n">
        <x:v>26355022</x:v>
      </x:c>
      <x:c r="M2" s="165" t="n">
        <x:v>165047467</x:v>
      </x:c>
      <x:c r="N2" s="165" t="n">
        <x:v>162461</x:v>
      </x:c>
      <x:c r="O2" s="165" t="n">
        <x:v>119761777</x:v>
      </x:c>
      <x:c r="P2" s="168" t="n">
        <x:v>0.62517583</x:v>
      </x:c>
      <x:c r="Q2" s="165" t="n">
        <x:v>191525311</x:v>
      </x:c>
      <x:c r="R2" s="165" t="n">
        <x:v>100911119</x:v>
      </x:c>
      <x:c r="S2" s="165" t="n">
        <x:v>39639</x:v>
      </x:c>
      <x:c r="T2" s="168" t="n">
        <x:v>0.00020695999999999998</x:v>
      </x:c>
      <x:c r="U2" s="165" t="n">
        <x:v>472468</x:v>
      </x:c>
      <x:c r="V2" s="168" t="n">
        <x:v>0.00468202</x:v>
      </x:c>
      <x:c r="W2" s="157" t="str">
        <x:v>not_available_for_selected_cn8_codes</x:v>
      </x:c>
      <x:c r="X2" s="158" t="str">
        <x:v>trade_not_sales; kg_not_ml_or_device_units; 2404_codes_are_broad_proxies</x:v>
      </x:c>
    </x:row>
    <x:row r="3" ht="140.39999389648438" hidden="0" customHeight="1">
      <x:c r="A3" s="159" t="n">
        <x:v>2025</x:v>
      </x:c>
      <x:c r="B3" s="160" t="str">
        <x:v>24041200</x:v>
      </x:c>
      <x:c r="C3" s="160" t="str">
        <x:v>broad_nicotine_inhalation_proxy</x:v>
      </x:c>
      <x:c r="D3" s="160" t="str">
        <x:v>Produits contenant de la nicotine, destinés à une inhalation sans combustion (mais ne contenant pas de tabac ou de tabac reconstitué)</x:v>
      </x:c>
      <x:c r="E3" s="166" t="n">
        <x:v>155659885</x:v>
      </x:c>
      <x:c r="F3" s="166" t="n">
        <x:v>16225939</x:v>
      </x:c>
      <x:c r="G3" s="166" t="n">
        <x:v>139433946</x:v>
      </x:c>
      <x:c r="H3" s="166" t="n">
        <x:v>3783799</x:v>
      </x:c>
      <x:c r="I3" s="166" t="n">
        <x:v>720694</x:v>
      </x:c>
      <x:c r="J3" s="166" t="n">
        <x:v>186</x:v>
      </x:c>
      <x:c r="K3" s="166" t="n">
        <x:v>414</x:v>
      </x:c>
      <x:c r="L3" s="166" t="n">
        <x:v>9366643</x:v>
      </x:c>
      <x:c r="M3" s="166" t="n">
        <x:v>146262735</x:v>
      </x:c>
      <x:c r="N3" s="166" t="n">
        <x:v>30507</x:v>
      </x:c>
      <x:c r="O3" s="166" t="n">
        <x:v>125874950</x:v>
      </x:c>
      <x:c r="P3" s="169" t="n">
        <x:v>0.80865375</x:v>
      </x:c>
      <x:c r="Q3" s="166" t="n">
        <x:v>155593223</x:v>
      </x:c>
      <x:c r="R3" s="166" t="n">
        <x:v>16172562</x:v>
      </x:c>
      <x:c r="S3" s="166" t="n">
        <x:v>66662</x:v>
      </x:c>
      <x:c r="T3" s="169" t="n">
        <x:v>0.00042844</x:v>
      </x:c>
      <x:c r="U3" s="166" t="n">
        <x:v>53377</x:v>
      </x:c>
      <x:c r="V3" s="169" t="n">
        <x:v>0.00330047</x:v>
      </x:c>
      <x:c r="W3" s="160" t="str">
        <x:v>not_available_for_selected_cn8_codes</x:v>
      </x:c>
      <x:c r="X3" s="161" t="str">
        <x:v>trade_not_sales; kg_not_ml_or_device_units; 2404_codes_are_broad_proxies</x:v>
      </x:c>
    </x:row>
    <x:row r="4" ht="151.1999969482422" hidden="0" customHeight="1">
      <x:c r="A4" s="159" t="n">
        <x:v>2025</x:v>
      </x:c>
      <x:c r="B4" s="160" t="str">
        <x:v>24041910</x:v>
      </x:c>
      <x:c r="C4" s="160" t="str">
        <x:v>broad_nicotine_free_tobacco_substitute_inhalation_proxy</x:v>
      </x:c>
      <x:c r="D4" s="160" t="str">
        <x:v>Produits contenant des succédanés de tabac, destinés à une inhalation sans combustion (mais ne contenant pas de nicotine)</x:v>
      </x:c>
      <x:c r="E4" s="166" t="n">
        <x:v>25794</x:v>
      </x:c>
      <x:c r="F4" s="166" t="n">
        <x:v>212174</x:v>
      </x:c>
      <x:c r="G4" s="166" t="n">
        <x:v>-186380</x:v>
      </x:c>
      <x:c r="H4" s="166" t="n">
        <x:v>443</x:v>
      </x:c>
      <x:c r="I4" s="166" t="n">
        <x:v>5202</x:v>
      </x:c>
      <x:c r="J4" s="166" t="n">
        <x:v>4</x:v>
      </x:c>
      <x:c r="K4" s="166" t="n">
        <x:v>11</x:v>
      </x:c>
      <x:c r="L4" s="166" t="n">
        <x:v>0</x:v>
      </x:c>
      <x:c r="M4" s="166" t="n">
        <x:v>15164</x:v>
      </x:c>
      <x:c r="N4" s="166" t="n">
        <x:v>10630</x:v>
      </x:c>
      <x:c r="O4" s="166" t="n">
        <x:v>0</x:v>
      </x:c>
      <x:c r="P4" s="169" t="n">
        <x:v>0</x:v>
      </x:c>
      <x:c r="Q4" s="166" t="n">
        <x:v>25794</x:v>
      </x:c>
      <x:c r="R4" s="166" t="n">
        <x:v>212096</x:v>
      </x:c>
      <x:c r="S4" s="166" t="n">
        <x:v>0</x:v>
      </x:c>
      <x:c r="T4" s="169" t="n">
        <x:v>0</x:v>
      </x:c>
      <x:c r="U4" s="166" t="n">
        <x:v>78</x:v>
      </x:c>
      <x:c r="V4" s="169" t="n">
        <x:v>0.00036776</x:v>
      </x:c>
      <x:c r="W4" s="160" t="str">
        <x:v>not_available_for_selected_cn8_codes</x:v>
      </x:c>
      <x:c r="X4" s="161" t="str">
        <x:v>trade_not_sales; kg_not_ml_or_device_units; 2404_codes_are_broad_proxies</x:v>
      </x:c>
    </x:row>
    <x:row r="5" ht="183.60000610351562" hidden="0" customHeight="1">
      <x:c r="A5" s="162" t="n">
        <x:v>2025</x:v>
      </x:c>
      <x:c r="B5" s="163" t="str">
        <x:v>24041990</x:v>
      </x:c>
      <x:c r="C5" s="163" t="str">
        <x:v>broad_other_substitute_inhalation_proxy</x:v>
      </x:c>
      <x:c r="D5" s="163" t="str">
        <x:v>Produits contenant des succédanés de nicotine, destinés à une inhalation sans combustion (mais ne contenant pas de nicotine ou de succédanés de tabac)</x:v>
      </x:c>
      <x:c r="E5" s="167" t="n">
        <x:v>16689352</x:v>
      </x:c>
      <x:c r="F5" s="167" t="n">
        <x:v>10041684</x:v>
      </x:c>
      <x:c r="G5" s="167" t="n">
        <x:v>6647668</x:v>
      </x:c>
      <x:c r="H5" s="167" t="n">
        <x:v>343296</x:v>
      </x:c>
      <x:c r="I5" s="167" t="n">
        <x:v>163616</x:v>
      </x:c>
      <x:c r="J5" s="167" t="n">
        <x:v>150</x:v>
      </x:c>
      <x:c r="K5" s="167" t="n">
        <x:v>343</x:v>
      </x:c>
      <x:c r="L5" s="167" t="n">
        <x:v>2187521</x:v>
      </x:c>
      <x:c r="M5" s="167" t="n">
        <x:v>14487578</x:v>
      </x:c>
      <x:c r="N5" s="167" t="n">
        <x:v>14253</x:v>
      </x:c>
      <x:c r="O5" s="167" t="n">
        <x:v>1670947</x:v>
      </x:c>
      <x:c r="P5" s="170" t="n">
        <x:v>0.10012054</x:v>
      </x:c>
      <x:c r="Q5" s="167" t="n">
        <x:v>16686803</x:v>
      </x:c>
      <x:c r="R5" s="167" t="n">
        <x:v>9996244</x:v>
      </x:c>
      <x:c r="S5" s="167" t="n">
        <x:v>2549</x:v>
      </x:c>
      <x:c r="T5" s="170" t="n">
        <x:v>0.00015276</x:v>
      </x:c>
      <x:c r="U5" s="167" t="n">
        <x:v>45440</x:v>
      </x:c>
      <x:c r="V5" s="170" t="n">
        <x:v>0.00454571</x:v>
      </x:c>
      <x:c r="W5" s="163" t="str">
        <x:v>not_available_for_selected_cn8_codes</x:v>
      </x:c>
      <x:c r="X5" s="164" t="str">
        <x:v>trade_not_sales; kg_not_ml_or_device_units; 2404_codes_are_broad_proxies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9.599998474121094" hidden="0" customHeight="1">
      <x:c r="A1" s="134" t="str">
        <x:v>year</x:v>
      </x:c>
      <x:c r="B1" s="135" t="str">
        <x:v>month</x:v>
      </x:c>
      <x:c r="C1" s="135" t="str">
        <x:v>cn8</x:v>
      </x:c>
      <x:c r="D1" s="135" t="str">
        <x:v>scope</x:v>
      </x:c>
      <x:c r="E1" s="135" t="str">
        <x:v>import_eur</x:v>
      </x:c>
      <x:c r="F1" s="135" t="str">
        <x:v>export_eur</x:v>
      </x:c>
      <x:c r="G1" s="135" t="str">
        <x:v>border_net_import_eur</x:v>
      </x:c>
      <x:c r="H1" s="135" t="str">
        <x:v>import_kg</x:v>
      </x:c>
      <x:c r="I1" s="135" t="str">
        <x:v>export_kg</x:v>
      </x:c>
      <x:c r="J1" s="135" t="str">
        <x:v>import_source_rows</x:v>
      </x:c>
      <x:c r="K1" s="136" t="str">
        <x:v>export_source_rows</x:v>
      </x:c>
    </x:row>
    <x:row r="2" ht="15" hidden="0" customHeight="1">
      <x:c r="A2" s="156" t="n">
        <x:v>2025</x:v>
      </x:c>
      <x:c r="B2" s="157" t="n">
        <x:v>1</x:v>
      </x:c>
      <x:c r="C2" s="157" t="str">
        <x:v>85434000</x:v>
      </x:c>
      <x:c r="D2" s="157" t="str">
        <x:v>core_devices</x:v>
      </x:c>
      <x:c r="E2" s="171" t="n">
        <x:v>16574562</x:v>
      </x:c>
      <x:c r="F2" s="171" t="n">
        <x:v>6603918</x:v>
      </x:c>
      <x:c r="G2" s="171" t="n">
        <x:v>9970644</x:v>
      </x:c>
      <x:c r="H2" s="171" t="n">
        <x:v>187385</x:v>
      </x:c>
      <x:c r="I2" s="171" t="n">
        <x:v>57053</x:v>
      </x:c>
      <x:c r="J2" s="171" t="n">
        <x:v>13</x:v>
      </x:c>
      <x:c r="K2" s="172" t="n">
        <x:v>43</x:v>
      </x:c>
    </x:row>
    <x:row r="3" ht="15" hidden="0" customHeight="1">
      <x:c r="A3" s="159" t="n">
        <x:v>2025</x:v>
      </x:c>
      <x:c r="B3" s="160" t="n">
        <x:v>2</x:v>
      </x:c>
      <x:c r="C3" s="160" t="str">
        <x:v>85434000</x:v>
      </x:c>
      <x:c r="D3" s="160" t="str">
        <x:v>core_devices</x:v>
      </x:c>
      <x:c r="E3" s="173" t="n">
        <x:v>13167377</x:v>
      </x:c>
      <x:c r="F3" s="173" t="n">
        <x:v>4285751</x:v>
      </x:c>
      <x:c r="G3" s="173" t="n">
        <x:v>8881626</x:v>
      </x:c>
      <x:c r="H3" s="173" t="n">
        <x:v>147968</x:v>
      </x:c>
      <x:c r="I3" s="173" t="n">
        <x:v>44770</x:v>
      </x:c>
      <x:c r="J3" s="173" t="n">
        <x:v>16</x:v>
      </x:c>
      <x:c r="K3" s="174" t="n">
        <x:v>37</x:v>
      </x:c>
    </x:row>
    <x:row r="4" ht="15" hidden="0" customHeight="1">
      <x:c r="A4" s="159" t="n">
        <x:v>2025</x:v>
      </x:c>
      <x:c r="B4" s="160" t="n">
        <x:v>3</x:v>
      </x:c>
      <x:c r="C4" s="160" t="str">
        <x:v>85434000</x:v>
      </x:c>
      <x:c r="D4" s="160" t="str">
        <x:v>core_devices</x:v>
      </x:c>
      <x:c r="E4" s="173" t="n">
        <x:v>12638820</x:v>
      </x:c>
      <x:c r="F4" s="173" t="n">
        <x:v>5045909</x:v>
      </x:c>
      <x:c r="G4" s="173" t="n">
        <x:v>7592911</x:v>
      </x:c>
      <x:c r="H4" s="173" t="n">
        <x:v>149274</x:v>
      </x:c>
      <x:c r="I4" s="173" t="n">
        <x:v>73980</x:v>
      </x:c>
      <x:c r="J4" s="173" t="n">
        <x:v>12</x:v>
      </x:c>
      <x:c r="K4" s="174" t="n">
        <x:v>37</x:v>
      </x:c>
    </x:row>
    <x:row r="5" ht="15" hidden="0" customHeight="1">
      <x:c r="A5" s="159" t="n">
        <x:v>2025</x:v>
      </x:c>
      <x:c r="B5" s="160" t="n">
        <x:v>4</x:v>
      </x:c>
      <x:c r="C5" s="160" t="str">
        <x:v>85434000</x:v>
      </x:c>
      <x:c r="D5" s="160" t="str">
        <x:v>core_devices</x:v>
      </x:c>
      <x:c r="E5" s="173" t="n">
        <x:v>12242717</x:v>
      </x:c>
      <x:c r="F5" s="173" t="n">
        <x:v>6185667</x:v>
      </x:c>
      <x:c r="G5" s="173" t="n">
        <x:v>6057050</x:v>
      </x:c>
      <x:c r="H5" s="173" t="n">
        <x:v>154173</x:v>
      </x:c>
      <x:c r="I5" s="173" t="n">
        <x:v>84406</x:v>
      </x:c>
      <x:c r="J5" s="173" t="n">
        <x:v>13</x:v>
      </x:c>
      <x:c r="K5" s="174" t="n">
        <x:v>42</x:v>
      </x:c>
    </x:row>
    <x:row r="6" ht="15" hidden="0" customHeight="1">
      <x:c r="A6" s="159" t="n">
        <x:v>2025</x:v>
      </x:c>
      <x:c r="B6" s="160" t="n">
        <x:v>5</x:v>
      </x:c>
      <x:c r="C6" s="160" t="str">
        <x:v>85434000</x:v>
      </x:c>
      <x:c r="D6" s="160" t="str">
        <x:v>core_devices</x:v>
      </x:c>
      <x:c r="E6" s="173" t="n">
        <x:v>14229065</x:v>
      </x:c>
      <x:c r="F6" s="173" t="n">
        <x:v>5625913</x:v>
      </x:c>
      <x:c r="G6" s="173" t="n">
        <x:v>8603152</x:v>
      </x:c>
      <x:c r="H6" s="173" t="n">
        <x:v>167348</x:v>
      </x:c>
      <x:c r="I6" s="173" t="n">
        <x:v>84664</x:v>
      </x:c>
      <x:c r="J6" s="173" t="n">
        <x:v>13</x:v>
      </x:c>
      <x:c r="K6" s="174" t="n">
        <x:v>39</x:v>
      </x:c>
    </x:row>
    <x:row r="7" ht="15" hidden="0" customHeight="1">
      <x:c r="A7" s="159" t="n">
        <x:v>2025</x:v>
      </x:c>
      <x:c r="B7" s="160" t="n">
        <x:v>6</x:v>
      </x:c>
      <x:c r="C7" s="160" t="str">
        <x:v>85434000</x:v>
      </x:c>
      <x:c r="D7" s="160" t="str">
        <x:v>core_devices</x:v>
      </x:c>
      <x:c r="E7" s="173" t="n">
        <x:v>12514413</x:v>
      </x:c>
      <x:c r="F7" s="173" t="n">
        <x:v>3951529</x:v>
      </x:c>
      <x:c r="G7" s="173" t="n">
        <x:v>8562884</x:v>
      </x:c>
      <x:c r="H7" s="173" t="n">
        <x:v>146050</x:v>
      </x:c>
      <x:c r="I7" s="173" t="n">
        <x:v>72564</x:v>
      </x:c>
      <x:c r="J7" s="173" t="n">
        <x:v>13</x:v>
      </x:c>
      <x:c r="K7" s="174" t="n">
        <x:v>38</x:v>
      </x:c>
    </x:row>
    <x:row r="8" ht="15" hidden="0" customHeight="1">
      <x:c r="A8" s="159" t="n">
        <x:v>2025</x:v>
      </x:c>
      <x:c r="B8" s="160" t="n">
        <x:v>7</x:v>
      </x:c>
      <x:c r="C8" s="160" t="str">
        <x:v>85434000</x:v>
      </x:c>
      <x:c r="D8" s="160" t="str">
        <x:v>core_devices</x:v>
      </x:c>
      <x:c r="E8" s="173" t="n">
        <x:v>15528322</x:v>
      </x:c>
      <x:c r="F8" s="173" t="n">
        <x:v>5337509</x:v>
      </x:c>
      <x:c r="G8" s="173" t="n">
        <x:v>10190813</x:v>
      </x:c>
      <x:c r="H8" s="173" t="n">
        <x:v>178798</x:v>
      </x:c>
      <x:c r="I8" s="173" t="n">
        <x:v>80803</x:v>
      </x:c>
      <x:c r="J8" s="173" t="n">
        <x:v>15</x:v>
      </x:c>
      <x:c r="K8" s="174" t="n">
        <x:v>42</x:v>
      </x:c>
    </x:row>
    <x:row r="9" ht="15" hidden="0" customHeight="1">
      <x:c r="A9" s="159" t="n">
        <x:v>2025</x:v>
      </x:c>
      <x:c r="B9" s="160" t="n">
        <x:v>8</x:v>
      </x:c>
      <x:c r="C9" s="160" t="str">
        <x:v>85434000</x:v>
      </x:c>
      <x:c r="D9" s="160" t="str">
        <x:v>core_devices</x:v>
      </x:c>
      <x:c r="E9" s="173" t="n">
        <x:v>18493395</x:v>
      </x:c>
      <x:c r="F9" s="173" t="n">
        <x:v>10493168</x:v>
      </x:c>
      <x:c r="G9" s="173" t="n">
        <x:v>8000227</x:v>
      </x:c>
      <x:c r="H9" s="173" t="n">
        <x:v>170588</x:v>
      </x:c>
      <x:c r="I9" s="173" t="n">
        <x:v>94298</x:v>
      </x:c>
      <x:c r="J9" s="173" t="n">
        <x:v>14</x:v>
      </x:c>
      <x:c r="K9" s="174" t="n">
        <x:v>38</x:v>
      </x:c>
    </x:row>
    <x:row r="10" ht="15" hidden="0" customHeight="1">
      <x:c r="A10" s="159" t="n">
        <x:v>2025</x:v>
      </x:c>
      <x:c r="B10" s="160" t="n">
        <x:v>9</x:v>
      </x:c>
      <x:c r="C10" s="160" t="str">
        <x:v>85434000</x:v>
      </x:c>
      <x:c r="D10" s="160" t="str">
        <x:v>core_devices</x:v>
      </x:c>
      <x:c r="E10" s="173" t="n">
        <x:v>14535848</x:v>
      </x:c>
      <x:c r="F10" s="173" t="n">
        <x:v>10437516</x:v>
      </x:c>
      <x:c r="G10" s="173" t="n">
        <x:v>4098332</x:v>
      </x:c>
      <x:c r="H10" s="173" t="n">
        <x:v>131341</x:v>
      </x:c>
      <x:c r="I10" s="173" t="n">
        <x:v>105485</x:v>
      </x:c>
      <x:c r="J10" s="173" t="n">
        <x:v>13</x:v>
      </x:c>
      <x:c r="K10" s="174" t="n">
        <x:v>42</x:v>
      </x:c>
    </x:row>
    <x:row r="11" ht="15" hidden="0" customHeight="1">
      <x:c r="A11" s="159" t="n">
        <x:v>2025</x:v>
      </x:c>
      <x:c r="B11" s="160" t="n">
        <x:v>10</x:v>
      </x:c>
      <x:c r="C11" s="160" t="str">
        <x:v>85434000</x:v>
      </x:c>
      <x:c r="D11" s="160" t="str">
        <x:v>core_devices</x:v>
      </x:c>
      <x:c r="E11" s="173" t="n">
        <x:v>21492735</x:v>
      </x:c>
      <x:c r="F11" s="173" t="n">
        <x:v>16241908</x:v>
      </x:c>
      <x:c r="G11" s="173" t="n">
        <x:v>5250827</x:v>
      </x:c>
      <x:c r="H11" s="173" t="n">
        <x:v>181536</x:v>
      </x:c>
      <x:c r="I11" s="173" t="n">
        <x:v>139700</x:v>
      </x:c>
      <x:c r="J11" s="173" t="n">
        <x:v>15</x:v>
      </x:c>
      <x:c r="K11" s="174" t="n">
        <x:v>41</x:v>
      </x:c>
    </x:row>
    <x:row r="12" ht="15" hidden="0" customHeight="1">
      <x:c r="A12" s="159" t="n">
        <x:v>2025</x:v>
      </x:c>
      <x:c r="B12" s="160" t="n">
        <x:v>11</x:v>
      </x:c>
      <x:c r="C12" s="160" t="str">
        <x:v>85434000</x:v>
      </x:c>
      <x:c r="D12" s="160" t="str">
        <x:v>core_devices</x:v>
      </x:c>
      <x:c r="E12" s="173" t="n">
        <x:v>21690514</x:v>
      </x:c>
      <x:c r="F12" s="173" t="n">
        <x:v>17468606</x:v>
      </x:c>
      <x:c r="G12" s="173" t="n">
        <x:v>4221908</x:v>
      </x:c>
      <x:c r="H12" s="173" t="n">
        <x:v>182580</x:v>
      </x:c>
      <x:c r="I12" s="173" t="n">
        <x:v>136147</x:v>
      </x:c>
      <x:c r="J12" s="173" t="n">
        <x:v>14</x:v>
      </x:c>
      <x:c r="K12" s="174" t="n">
        <x:v>40</x:v>
      </x:c>
    </x:row>
    <x:row r="13" ht="15" hidden="0" customHeight="1">
      <x:c r="A13" s="159" t="n">
        <x:v>2025</x:v>
      </x:c>
      <x:c r="B13" s="160" t="n">
        <x:v>12</x:v>
      </x:c>
      <x:c r="C13" s="160" t="str">
        <x:v>85434000</x:v>
      </x:c>
      <x:c r="D13" s="160" t="str">
        <x:v>core_devices</x:v>
      </x:c>
      <x:c r="E13" s="173" t="n">
        <x:v>18457182</x:v>
      </x:c>
      <x:c r="F13" s="173" t="n">
        <x:v>9706193</x:v>
      </x:c>
      <x:c r="G13" s="173" t="n">
        <x:v>8750989</x:v>
      </x:c>
      <x:c r="H13" s="173" t="n">
        <x:v>178394</x:v>
      </x:c>
      <x:c r="I13" s="173" t="n">
        <x:v>114634</x:v>
      </x:c>
      <x:c r="J13" s="173" t="n">
        <x:v>19</x:v>
      </x:c>
      <x:c r="K13" s="174" t="n">
        <x:v>39</x:v>
      </x:c>
    </x:row>
    <x:row r="14" ht="32.400001525878906" hidden="0" customHeight="1">
      <x:c r="A14" s="159" t="n">
        <x:v>2025</x:v>
      </x:c>
      <x:c r="B14" s="160" t="n">
        <x:v>1</x:v>
      </x:c>
      <x:c r="C14" s="160" t="str">
        <x:v>24041200</x:v>
      </x:c>
      <x:c r="D14" s="160" t="str">
        <x:v>broad_nicotine_inhalation_proxy</x:v>
      </x:c>
      <x:c r="E14" s="173" t="n">
        <x:v>8331836</x:v>
      </x:c>
      <x:c r="F14" s="173" t="n">
        <x:v>1341395</x:v>
      </x:c>
      <x:c r="G14" s="173" t="n">
        <x:v>6990441</x:v>
      </x:c>
      <x:c r="H14" s="173" t="n">
        <x:v>282694</x:v>
      </x:c>
      <x:c r="I14" s="173" t="n">
        <x:v>90773</x:v>
      </x:c>
      <x:c r="J14" s="173" t="n">
        <x:v>16</x:v>
      </x:c>
      <x:c r="K14" s="174" t="n">
        <x:v>30</x:v>
      </x:c>
    </x:row>
    <x:row r="15" ht="32.400001525878906" hidden="0" customHeight="1">
      <x:c r="A15" s="159" t="n">
        <x:v>2025</x:v>
      </x:c>
      <x:c r="B15" s="160" t="n">
        <x:v>2</x:v>
      </x:c>
      <x:c r="C15" s="160" t="str">
        <x:v>24041200</x:v>
      </x:c>
      <x:c r="D15" s="160" t="str">
        <x:v>broad_nicotine_inhalation_proxy</x:v>
      </x:c>
      <x:c r="E15" s="173" t="n">
        <x:v>6790477</x:v>
      </x:c>
      <x:c r="F15" s="173" t="n">
        <x:v>1286755</x:v>
      </x:c>
      <x:c r="G15" s="173" t="n">
        <x:v>5503722</x:v>
      </x:c>
      <x:c r="H15" s="173" t="n">
        <x:v>183307</x:v>
      </x:c>
      <x:c r="I15" s="173" t="n">
        <x:v>79991</x:v>
      </x:c>
      <x:c r="J15" s="173" t="n">
        <x:v>15</x:v>
      </x:c>
      <x:c r="K15" s="174" t="n">
        <x:v>33</x:v>
      </x:c>
    </x:row>
    <x:row r="16" ht="32.400001525878906" hidden="0" customHeight="1">
      <x:c r="A16" s="159" t="n">
        <x:v>2025</x:v>
      </x:c>
      <x:c r="B16" s="160" t="n">
        <x:v>3</x:v>
      </x:c>
      <x:c r="C16" s="160" t="str">
        <x:v>24041200</x:v>
      </x:c>
      <x:c r="D16" s="160" t="str">
        <x:v>broad_nicotine_inhalation_proxy</x:v>
      </x:c>
      <x:c r="E16" s="173" t="n">
        <x:v>10645052</x:v>
      </x:c>
      <x:c r="F16" s="173" t="n">
        <x:v>1498800</x:v>
      </x:c>
      <x:c r="G16" s="173" t="n">
        <x:v>9146252</x:v>
      </x:c>
      <x:c r="H16" s="173" t="n">
        <x:v>270626</x:v>
      </x:c>
      <x:c r="I16" s="173" t="n">
        <x:v>98075</x:v>
      </x:c>
      <x:c r="J16" s="173" t="n">
        <x:v>16</x:v>
      </x:c>
      <x:c r="K16" s="174" t="n">
        <x:v>34</x:v>
      </x:c>
    </x:row>
    <x:row r="17" ht="32.400001525878906" hidden="0" customHeight="1">
      <x:c r="A17" s="159" t="n">
        <x:v>2025</x:v>
      </x:c>
      <x:c r="B17" s="160" t="n">
        <x:v>4</x:v>
      </x:c>
      <x:c r="C17" s="160" t="str">
        <x:v>24041200</x:v>
      </x:c>
      <x:c r="D17" s="160" t="str">
        <x:v>broad_nicotine_inhalation_proxy</x:v>
      </x:c>
      <x:c r="E17" s="173" t="n">
        <x:v>9843557</x:v>
      </x:c>
      <x:c r="F17" s="173" t="n">
        <x:v>1636997</x:v>
      </x:c>
      <x:c r="G17" s="173" t="n">
        <x:v>8206560</x:v>
      </x:c>
      <x:c r="H17" s="173" t="n">
        <x:v>311351</x:v>
      </x:c>
      <x:c r="I17" s="173" t="n">
        <x:v>49514</x:v>
      </x:c>
      <x:c r="J17" s="173" t="n">
        <x:v>16</x:v>
      </x:c>
      <x:c r="K17" s="174" t="n">
        <x:v>36</x:v>
      </x:c>
    </x:row>
    <x:row r="18" ht="32.400001525878906" hidden="0" customHeight="1">
      <x:c r="A18" s="159" t="n">
        <x:v>2025</x:v>
      </x:c>
      <x:c r="B18" s="160" t="n">
        <x:v>5</x:v>
      </x:c>
      <x:c r="C18" s="160" t="str">
        <x:v>24041200</x:v>
      </x:c>
      <x:c r="D18" s="160" t="str">
        <x:v>broad_nicotine_inhalation_proxy</x:v>
      </x:c>
      <x:c r="E18" s="173" t="n">
        <x:v>11969943</x:v>
      </x:c>
      <x:c r="F18" s="173" t="n">
        <x:v>1318644</x:v>
      </x:c>
      <x:c r="G18" s="173" t="n">
        <x:v>10651299</x:v>
      </x:c>
      <x:c r="H18" s="173" t="n">
        <x:v>318555</x:v>
      </x:c>
      <x:c r="I18" s="173" t="n">
        <x:v>53395</x:v>
      </x:c>
      <x:c r="J18" s="173" t="n">
        <x:v>15</x:v>
      </x:c>
      <x:c r="K18" s="174" t="n">
        <x:v>37</x:v>
      </x:c>
    </x:row>
    <x:row r="19" ht="32.400001525878906" hidden="0" customHeight="1">
      <x:c r="A19" s="159" t="n">
        <x:v>2025</x:v>
      </x:c>
      <x:c r="B19" s="160" t="n">
        <x:v>6</x:v>
      </x:c>
      <x:c r="C19" s="160" t="str">
        <x:v>24041200</x:v>
      </x:c>
      <x:c r="D19" s="160" t="str">
        <x:v>broad_nicotine_inhalation_proxy</x:v>
      </x:c>
      <x:c r="E19" s="173" t="n">
        <x:v>15264317</x:v>
      </x:c>
      <x:c r="F19" s="173" t="n">
        <x:v>1273250</x:v>
      </x:c>
      <x:c r="G19" s="173" t="n">
        <x:v>13991067</x:v>
      </x:c>
      <x:c r="H19" s="173" t="n">
        <x:v>337988</x:v>
      </x:c>
      <x:c r="I19" s="173" t="n">
        <x:v>53513</x:v>
      </x:c>
      <x:c r="J19" s="173" t="n">
        <x:v>15</x:v>
      </x:c>
      <x:c r="K19" s="174" t="n">
        <x:v>31</x:v>
      </x:c>
    </x:row>
    <x:row r="20" ht="32.400001525878906" hidden="0" customHeight="1">
      <x:c r="A20" s="159" t="n">
        <x:v>2025</x:v>
      </x:c>
      <x:c r="B20" s="160" t="n">
        <x:v>7</x:v>
      </x:c>
      <x:c r="C20" s="160" t="str">
        <x:v>24041200</x:v>
      </x:c>
      <x:c r="D20" s="160" t="str">
        <x:v>broad_nicotine_inhalation_proxy</x:v>
      </x:c>
      <x:c r="E20" s="173" t="n">
        <x:v>11764767</x:v>
      </x:c>
      <x:c r="F20" s="173" t="n">
        <x:v>1463476</x:v>
      </x:c>
      <x:c r="G20" s="173" t="n">
        <x:v>10301291</x:v>
      </x:c>
      <x:c r="H20" s="173" t="n">
        <x:v>349385</x:v>
      </x:c>
      <x:c r="I20" s="173" t="n">
        <x:v>52854</x:v>
      </x:c>
      <x:c r="J20" s="173" t="n">
        <x:v>15</x:v>
      </x:c>
      <x:c r="K20" s="174" t="n">
        <x:v>35</x:v>
      </x:c>
    </x:row>
    <x:row r="21" ht="32.400001525878906" hidden="0" customHeight="1">
      <x:c r="A21" s="159" t="n">
        <x:v>2025</x:v>
      </x:c>
      <x:c r="B21" s="160" t="n">
        <x:v>8</x:v>
      </x:c>
      <x:c r="C21" s="160" t="str">
        <x:v>24041200</x:v>
      </x:c>
      <x:c r="D21" s="160" t="str">
        <x:v>broad_nicotine_inhalation_proxy</x:v>
      </x:c>
      <x:c r="E21" s="173" t="n">
        <x:v>9263400</x:v>
      </x:c>
      <x:c r="F21" s="173" t="n">
        <x:v>1193202</x:v>
      </x:c>
      <x:c r="G21" s="173" t="n">
        <x:v>8070198</x:v>
      </x:c>
      <x:c r="H21" s="173" t="n">
        <x:v>237993</x:v>
      </x:c>
      <x:c r="I21" s="173" t="n">
        <x:v>48026</x:v>
      </x:c>
      <x:c r="J21" s="173" t="n">
        <x:v>15</x:v>
      </x:c>
      <x:c r="K21" s="174" t="n">
        <x:v>38</x:v>
      </x:c>
    </x:row>
    <x:row r="22" ht="32.400001525878906" hidden="0" customHeight="1">
      <x:c r="A22" s="159" t="n">
        <x:v>2025</x:v>
      </x:c>
      <x:c r="B22" s="160" t="n">
        <x:v>9</x:v>
      </x:c>
      <x:c r="C22" s="160" t="str">
        <x:v>24041200</x:v>
      </x:c>
      <x:c r="D22" s="160" t="str">
        <x:v>broad_nicotine_inhalation_proxy</x:v>
      </x:c>
      <x:c r="E22" s="173" t="n">
        <x:v>11377005</x:v>
      </x:c>
      <x:c r="F22" s="173" t="n">
        <x:v>1940771</x:v>
      </x:c>
      <x:c r="G22" s="173" t="n">
        <x:v>9436234</x:v>
      </x:c>
      <x:c r="H22" s="173" t="n">
        <x:v>316097</x:v>
      </x:c>
      <x:c r="I22" s="173" t="n">
        <x:v>69977</x:v>
      </x:c>
      <x:c r="J22" s="173" t="n">
        <x:v>14</x:v>
      </x:c>
      <x:c r="K22" s="174" t="n">
        <x:v>36</x:v>
      </x:c>
    </x:row>
    <x:row r="23" ht="32.400001525878906" hidden="0" customHeight="1">
      <x:c r="A23" s="159" t="n">
        <x:v>2025</x:v>
      </x:c>
      <x:c r="B23" s="160" t="n">
        <x:v>10</x:v>
      </x:c>
      <x:c r="C23" s="160" t="str">
        <x:v>24041200</x:v>
      </x:c>
      <x:c r="D23" s="160" t="str">
        <x:v>broad_nicotine_inhalation_proxy</x:v>
      </x:c>
      <x:c r="E23" s="173" t="n">
        <x:v>21634073</x:v>
      </x:c>
      <x:c r="F23" s="173" t="n">
        <x:v>786008</x:v>
      </x:c>
      <x:c r="G23" s="173" t="n">
        <x:v>20848065</x:v>
      </x:c>
      <x:c r="H23" s="173" t="n">
        <x:v>435183</x:v>
      </x:c>
      <x:c r="I23" s="173" t="n">
        <x:v>34721</x:v>
      </x:c>
      <x:c r="J23" s="173" t="n">
        <x:v>17</x:v>
      </x:c>
      <x:c r="K23" s="174" t="n">
        <x:v>35</x:v>
      </x:c>
    </x:row>
    <x:row r="24" ht="32.400001525878906" hidden="0" customHeight="1">
      <x:c r="A24" s="159" t="n">
        <x:v>2025</x:v>
      </x:c>
      <x:c r="B24" s="160" t="n">
        <x:v>11</x:v>
      </x:c>
      <x:c r="C24" s="160" t="str">
        <x:v>24041200</x:v>
      </x:c>
      <x:c r="D24" s="160" t="str">
        <x:v>broad_nicotine_inhalation_proxy</x:v>
      </x:c>
      <x:c r="E24" s="173" t="n">
        <x:v>23139965</x:v>
      </x:c>
      <x:c r="F24" s="173" t="n">
        <x:v>1667940</x:v>
      </x:c>
      <x:c r="G24" s="173" t="n">
        <x:v>21472025</x:v>
      </x:c>
      <x:c r="H24" s="173" t="n">
        <x:v>415814</x:v>
      </x:c>
      <x:c r="I24" s="173" t="n">
        <x:v>45180</x:v>
      </x:c>
      <x:c r="J24" s="173" t="n">
        <x:v>15</x:v>
      </x:c>
      <x:c r="K24" s="174" t="n">
        <x:v>37</x:v>
      </x:c>
    </x:row>
    <x:row r="25" ht="32.400001525878906" hidden="0" customHeight="1">
      <x:c r="A25" s="159" t="n">
        <x:v>2025</x:v>
      </x:c>
      <x:c r="B25" s="160" t="n">
        <x:v>12</x:v>
      </x:c>
      <x:c r="C25" s="160" t="str">
        <x:v>24041200</x:v>
      </x:c>
      <x:c r="D25" s="160" t="str">
        <x:v>broad_nicotine_inhalation_proxy</x:v>
      </x:c>
      <x:c r="E25" s="173" t="n">
        <x:v>15635493</x:v>
      </x:c>
      <x:c r="F25" s="173" t="n">
        <x:v>818701</x:v>
      </x:c>
      <x:c r="G25" s="173" t="n">
        <x:v>14816792</x:v>
      </x:c>
      <x:c r="H25" s="173" t="n">
        <x:v>324806</x:v>
      </x:c>
      <x:c r="I25" s="173" t="n">
        <x:v>44675</x:v>
      </x:c>
      <x:c r="J25" s="173" t="n">
        <x:v>17</x:v>
      </x:c>
      <x:c r="K25" s="174" t="n">
        <x:v>32</x:v>
      </x:c>
    </x:row>
    <x:row r="26" ht="54" hidden="0" customHeight="1">
      <x:c r="A26" s="159" t="n">
        <x:v>2025</x:v>
      </x:c>
      <x:c r="B26" s="160" t="n">
        <x:v>1</x:v>
      </x:c>
      <x:c r="C26" s="160" t="str">
        <x:v>24041910</x:v>
      </x:c>
      <x:c r="D26" s="160" t="str">
        <x:v>broad_nicotine_free_tobacco_substitute_inhalation_proxy</x:v>
      </x:c>
      <x:c r="E26" s="173" t="n">
        <x:v>0</x:v>
      </x:c>
      <x:c r="F26" s="173" t="n">
        <x:v>0</x:v>
      </x:c>
      <x:c r="G26" s="173" t="n">
        <x:v>0</x:v>
      </x:c>
      <x:c r="H26" s="173" t="n">
        <x:v>0</x:v>
      </x:c>
      <x:c r="I26" s="173" t="n">
        <x:v>0</x:v>
      </x:c>
      <x:c r="J26" s="173" t="n">
        <x:v>0</x:v>
      </x:c>
      <x:c r="K26" s="174" t="n">
        <x:v>0</x:v>
      </x:c>
    </x:row>
    <x:row r="27" ht="54" hidden="0" customHeight="1">
      <x:c r="A27" s="159" t="n">
        <x:v>2025</x:v>
      </x:c>
      <x:c r="B27" s="160" t="n">
        <x:v>2</x:v>
      </x:c>
      <x:c r="C27" s="160" t="str">
        <x:v>24041910</x:v>
      </x:c>
      <x:c r="D27" s="160" t="str">
        <x:v>broad_nicotine_free_tobacco_substitute_inhalation_proxy</x:v>
      </x:c>
      <x:c r="E27" s="173" t="n">
        <x:v>0</x:v>
      </x:c>
      <x:c r="F27" s="173" t="n">
        <x:v>0</x:v>
      </x:c>
      <x:c r="G27" s="173" t="n">
        <x:v>0</x:v>
      </x:c>
      <x:c r="H27" s="173" t="n">
        <x:v>0</x:v>
      </x:c>
      <x:c r="I27" s="173" t="n">
        <x:v>0</x:v>
      </x:c>
      <x:c r="J27" s="173" t="n">
        <x:v>0</x:v>
      </x:c>
      <x:c r="K27" s="174" t="n">
        <x:v>0</x:v>
      </x:c>
    </x:row>
    <x:row r="28" ht="54" hidden="0" customHeight="1">
      <x:c r="A28" s="159" t="n">
        <x:v>2025</x:v>
      </x:c>
      <x:c r="B28" s="160" t="n">
        <x:v>3</x:v>
      </x:c>
      <x:c r="C28" s="160" t="str">
        <x:v>24041910</x:v>
      </x:c>
      <x:c r="D28" s="160" t="str">
        <x:v>broad_nicotine_free_tobacco_substitute_inhalation_proxy</x:v>
      </x:c>
      <x:c r="E28" s="173" t="n">
        <x:v>0</x:v>
      </x:c>
      <x:c r="F28" s="173" t="n">
        <x:v>0</x:v>
      </x:c>
      <x:c r="G28" s="173" t="n">
        <x:v>0</x:v>
      </x:c>
      <x:c r="H28" s="173" t="n">
        <x:v>0</x:v>
      </x:c>
      <x:c r="I28" s="173" t="n">
        <x:v>0</x:v>
      </x:c>
      <x:c r="J28" s="173" t="n">
        <x:v>0</x:v>
      </x:c>
      <x:c r="K28" s="174" t="n">
        <x:v>0</x:v>
      </x:c>
    </x:row>
    <x:row r="29" ht="54" hidden="0" customHeight="1">
      <x:c r="A29" s="159" t="n">
        <x:v>2025</x:v>
      </x:c>
      <x:c r="B29" s="160" t="n">
        <x:v>4</x:v>
      </x:c>
      <x:c r="C29" s="160" t="str">
        <x:v>24041910</x:v>
      </x:c>
      <x:c r="D29" s="160" t="str">
        <x:v>broad_nicotine_free_tobacco_substitute_inhalation_proxy</x:v>
      </x:c>
      <x:c r="E29" s="173" t="n">
        <x:v>6921</x:v>
      </x:c>
      <x:c r="F29" s="173" t="n">
        <x:v>76709</x:v>
      </x:c>
      <x:c r="G29" s="173" t="n">
        <x:v>-69788</x:v>
      </x:c>
      <x:c r="H29" s="173" t="n">
        <x:v>113</x:v>
      </x:c>
      <x:c r="I29" s="173" t="n">
        <x:v>1671</x:v>
      </x:c>
      <x:c r="J29" s="173" t="n">
        <x:v>1</x:v>
      </x:c>
      <x:c r="K29" s="174" t="n">
        <x:v>2</x:v>
      </x:c>
    </x:row>
    <x:row r="30" ht="54" hidden="0" customHeight="1">
      <x:c r="A30" s="159" t="n">
        <x:v>2025</x:v>
      </x:c>
      <x:c r="B30" s="160" t="n">
        <x:v>5</x:v>
      </x:c>
      <x:c r="C30" s="160" t="str">
        <x:v>24041910</x:v>
      </x:c>
      <x:c r="D30" s="160" t="str">
        <x:v>broad_nicotine_free_tobacco_substitute_inhalation_proxy</x:v>
      </x:c>
      <x:c r="E30" s="173" t="n">
        <x:v>0</x:v>
      </x:c>
      <x:c r="F30" s="173" t="n">
        <x:v>28692</x:v>
      </x:c>
      <x:c r="G30" s="173" t="n">
        <x:v>-28692</x:v>
      </x:c>
      <x:c r="H30" s="173" t="n">
        <x:v>0</x:v>
      </x:c>
      <x:c r="I30" s="173" t="n">
        <x:v>660</x:v>
      </x:c>
      <x:c r="J30" s="173" t="n">
        <x:v>0</x:v>
      </x:c>
      <x:c r="K30" s="174" t="n">
        <x:v>2</x:v>
      </x:c>
    </x:row>
    <x:row r="31" ht="54" hidden="0" customHeight="1">
      <x:c r="A31" s="159" t="n">
        <x:v>2025</x:v>
      </x:c>
      <x:c r="B31" s="160" t="n">
        <x:v>6</x:v>
      </x:c>
      <x:c r="C31" s="160" t="str">
        <x:v>24041910</x:v>
      </x:c>
      <x:c r="D31" s="160" t="str">
        <x:v>broad_nicotine_free_tobacco_substitute_inhalation_proxy</x:v>
      </x:c>
      <x:c r="E31" s="173" t="n">
        <x:v>18800</x:v>
      </x:c>
      <x:c r="F31" s="173" t="n">
        <x:v>26728</x:v>
      </x:c>
      <x:c r="G31" s="173" t="n">
        <x:v>-7928</x:v>
      </x:c>
      <x:c r="H31" s="173" t="n">
        <x:v>330</x:v>
      </x:c>
      <x:c r="I31" s="173" t="n">
        <x:v>589</x:v>
      </x:c>
      <x:c r="J31" s="173" t="n">
        <x:v>2</x:v>
      </x:c>
      <x:c r="K31" s="174" t="n">
        <x:v>2</x:v>
      </x:c>
    </x:row>
    <x:row r="32" ht="54" hidden="0" customHeight="1">
      <x:c r="A32" s="159" t="n">
        <x:v>2025</x:v>
      </x:c>
      <x:c r="B32" s="160" t="n">
        <x:v>7</x:v>
      </x:c>
      <x:c r="C32" s="160" t="str">
        <x:v>24041910</x:v>
      </x:c>
      <x:c r="D32" s="160" t="str">
        <x:v>broad_nicotine_free_tobacco_substitute_inhalation_proxy</x:v>
      </x:c>
      <x:c r="E32" s="173" t="n">
        <x:v>0</x:v>
      </x:c>
      <x:c r="F32" s="173" t="n">
        <x:v>24971</x:v>
      </x:c>
      <x:c r="G32" s="173" t="n">
        <x:v>-24971</x:v>
      </x:c>
      <x:c r="H32" s="173" t="n">
        <x:v>0</x:v>
      </x:c>
      <x:c r="I32" s="173" t="n">
        <x:v>910</x:v>
      </x:c>
      <x:c r="J32" s="173" t="n">
        <x:v>0</x:v>
      </x:c>
      <x:c r="K32" s="174" t="n">
        <x:v>1</x:v>
      </x:c>
    </x:row>
    <x:row r="33" ht="54" hidden="0" customHeight="1">
      <x:c r="A33" s="159" t="n">
        <x:v>2025</x:v>
      </x:c>
      <x:c r="B33" s="160" t="n">
        <x:v>8</x:v>
      </x:c>
      <x:c r="C33" s="160" t="str">
        <x:v>24041910</x:v>
      </x:c>
      <x:c r="D33" s="160" t="str">
        <x:v>broad_nicotine_free_tobacco_substitute_inhalation_proxy</x:v>
      </x:c>
      <x:c r="E33" s="173" t="n">
        <x:v>73</x:v>
      </x:c>
      <x:c r="F33" s="173" t="n">
        <x:v>15073</x:v>
      </x:c>
      <x:c r="G33" s="173" t="n">
        <x:v>-15000</x:v>
      </x:c>
      <x:c r="H33" s="173" t="n">
        <x:v>0</x:v>
      </x:c>
      <x:c r="I33" s="173" t="n">
        <x:v>532</x:v>
      </x:c>
      <x:c r="J33" s="173" t="n">
        <x:v>1</x:v>
      </x:c>
      <x:c r="K33" s="174" t="n">
        <x:v>1</x:v>
      </x:c>
    </x:row>
    <x:row r="34" ht="54" hidden="0" customHeight="1">
      <x:c r="A34" s="159" t="n">
        <x:v>2025</x:v>
      </x:c>
      <x:c r="B34" s="160" t="n">
        <x:v>9</x:v>
      </x:c>
      <x:c r="C34" s="160" t="str">
        <x:v>24041910</x:v>
      </x:c>
      <x:c r="D34" s="160" t="str">
        <x:v>broad_nicotine_free_tobacco_substitute_inhalation_proxy</x:v>
      </x:c>
      <x:c r="E34" s="173" t="n">
        <x:v>0</x:v>
      </x:c>
      <x:c r="F34" s="173" t="n">
        <x:v>19582</x:v>
      </x:c>
      <x:c r="G34" s="173" t="n">
        <x:v>-19582</x:v>
      </x:c>
      <x:c r="H34" s="173" t="n">
        <x:v>0</x:v>
      </x:c>
      <x:c r="I34" s="173" t="n">
        <x:v>363</x:v>
      </x:c>
      <x:c r="J34" s="173" t="n">
        <x:v>0</x:v>
      </x:c>
      <x:c r="K34" s="174" t="n">
        <x:v>1</x:v>
      </x:c>
    </x:row>
    <x:row r="35" ht="54" hidden="0" customHeight="1">
      <x:c r="A35" s="159" t="n">
        <x:v>2025</x:v>
      </x:c>
      <x:c r="B35" s="160" t="n">
        <x:v>10</x:v>
      </x:c>
      <x:c r="C35" s="160" t="str">
        <x:v>24041910</x:v>
      </x:c>
      <x:c r="D35" s="160" t="str">
        <x:v>broad_nicotine_free_tobacco_substitute_inhalation_proxy</x:v>
      </x:c>
      <x:c r="E35" s="173" t="n">
        <x:v>0</x:v>
      </x:c>
      <x:c r="F35" s="173" t="n">
        <x:v>828</x:v>
      </x:c>
      <x:c r="G35" s="173" t="n">
        <x:v>-828</x:v>
      </x:c>
      <x:c r="H35" s="173" t="n">
        <x:v>0</x:v>
      </x:c>
      <x:c r="I35" s="173" t="n">
        <x:v>15</x:v>
      </x:c>
      <x:c r="J35" s="173" t="n">
        <x:v>0</x:v>
      </x:c>
      <x:c r="K35" s="174" t="n">
        <x:v>1</x:v>
      </x:c>
    </x:row>
    <x:row r="36" ht="54" hidden="0" customHeight="1">
      <x:c r="A36" s="159" t="n">
        <x:v>2025</x:v>
      </x:c>
      <x:c r="B36" s="160" t="n">
        <x:v>11</x:v>
      </x:c>
      <x:c r="C36" s="160" t="str">
        <x:v>24041910</x:v>
      </x:c>
      <x:c r="D36" s="160" t="str">
        <x:v>broad_nicotine_free_tobacco_substitute_inhalation_proxy</x:v>
      </x:c>
      <x:c r="E36" s="173" t="n">
        <x:v>0</x:v>
      </x:c>
      <x:c r="F36" s="173" t="n">
        <x:v>19591</x:v>
      </x:c>
      <x:c r="G36" s="173" t="n">
        <x:v>-19591</x:v>
      </x:c>
      <x:c r="H36" s="173" t="n">
        <x:v>0</x:v>
      </x:c>
      <x:c r="I36" s="173" t="n">
        <x:v>462</x:v>
      </x:c>
      <x:c r="J36" s="173" t="n">
        <x:v>0</x:v>
      </x:c>
      <x:c r="K36" s="174" t="n">
        <x:v>1</x:v>
      </x:c>
    </x:row>
    <x:row r="37" ht="54" hidden="0" customHeight="1">
      <x:c r="A37" s="159" t="n">
        <x:v>2025</x:v>
      </x:c>
      <x:c r="B37" s="160" t="n">
        <x:v>12</x:v>
      </x:c>
      <x:c r="C37" s="160" t="str">
        <x:v>24041910</x:v>
      </x:c>
      <x:c r="D37" s="160" t="str">
        <x:v>broad_nicotine_free_tobacco_substitute_inhalation_proxy</x:v>
      </x:c>
      <x:c r="E37" s="173" t="n">
        <x:v>0</x:v>
      </x:c>
      <x:c r="F37" s="173" t="n">
        <x:v>0</x:v>
      </x:c>
      <x:c r="G37" s="173" t="n">
        <x:v>0</x:v>
      </x:c>
      <x:c r="H37" s="173" t="n">
        <x:v>0</x:v>
      </x:c>
      <x:c r="I37" s="173" t="n">
        <x:v>0</x:v>
      </x:c>
      <x:c r="J37" s="173" t="n">
        <x:v>0</x:v>
      </x:c>
      <x:c r="K37" s="174" t="n">
        <x:v>0</x:v>
      </x:c>
    </x:row>
    <x:row r="38" ht="43.20000076293945" hidden="0" customHeight="1">
      <x:c r="A38" s="159" t="n">
        <x:v>2025</x:v>
      </x:c>
      <x:c r="B38" s="160" t="n">
        <x:v>1</x:v>
      </x:c>
      <x:c r="C38" s="160" t="str">
        <x:v>24041990</x:v>
      </x:c>
      <x:c r="D38" s="160" t="str">
        <x:v>broad_other_substitute_inhalation_proxy</x:v>
      </x:c>
      <x:c r="E38" s="173" t="n">
        <x:v>1287462</x:v>
      </x:c>
      <x:c r="F38" s="173" t="n">
        <x:v>909727</x:v>
      </x:c>
      <x:c r="G38" s="173" t="n">
        <x:v>377735</x:v>
      </x:c>
      <x:c r="H38" s="173" t="n">
        <x:v>28837</x:v>
      </x:c>
      <x:c r="I38" s="173" t="n">
        <x:v>17104</x:v>
      </x:c>
      <x:c r="J38" s="173" t="n">
        <x:v>14</x:v>
      </x:c>
      <x:c r="K38" s="174" t="n">
        <x:v>24</x:v>
      </x:c>
    </x:row>
    <x:row r="39" ht="43.20000076293945" hidden="0" customHeight="1">
      <x:c r="A39" s="159" t="n">
        <x:v>2025</x:v>
      </x:c>
      <x:c r="B39" s="160" t="n">
        <x:v>2</x:v>
      </x:c>
      <x:c r="C39" s="160" t="str">
        <x:v>24041990</x:v>
      </x:c>
      <x:c r="D39" s="160" t="str">
        <x:v>broad_other_substitute_inhalation_proxy</x:v>
      </x:c>
      <x:c r="E39" s="173" t="n">
        <x:v>1515365</x:v>
      </x:c>
      <x:c r="F39" s="173" t="n">
        <x:v>615590</x:v>
      </x:c>
      <x:c r="G39" s="173" t="n">
        <x:v>899775</x:v>
      </x:c>
      <x:c r="H39" s="173" t="n">
        <x:v>26134</x:v>
      </x:c>
      <x:c r="I39" s="173" t="n">
        <x:v>9293</x:v>
      </x:c>
      <x:c r="J39" s="173" t="n">
        <x:v>14</x:v>
      </x:c>
      <x:c r="K39" s="174" t="n">
        <x:v>24</x:v>
      </x:c>
    </x:row>
    <x:row r="40" ht="43.20000076293945" hidden="0" customHeight="1">
      <x:c r="A40" s="159" t="n">
        <x:v>2025</x:v>
      </x:c>
      <x:c r="B40" s="160" t="n">
        <x:v>3</x:v>
      </x:c>
      <x:c r="C40" s="160" t="str">
        <x:v>24041990</x:v>
      </x:c>
      <x:c r="D40" s="160" t="str">
        <x:v>broad_other_substitute_inhalation_proxy</x:v>
      </x:c>
      <x:c r="E40" s="173" t="n">
        <x:v>1602304</x:v>
      </x:c>
      <x:c r="F40" s="173" t="n">
        <x:v>1227804</x:v>
      </x:c>
      <x:c r="G40" s="173" t="n">
        <x:v>374500</x:v>
      </x:c>
      <x:c r="H40" s="173" t="n">
        <x:v>31237</x:v>
      </x:c>
      <x:c r="I40" s="173" t="n">
        <x:v>21712</x:v>
      </x:c>
      <x:c r="J40" s="173" t="n">
        <x:v>13</x:v>
      </x:c>
      <x:c r="K40" s="174" t="n">
        <x:v>29</x:v>
      </x:c>
    </x:row>
    <x:row r="41" ht="43.20000076293945" hidden="0" customHeight="1">
      <x:c r="A41" s="159" t="n">
        <x:v>2025</x:v>
      </x:c>
      <x:c r="B41" s="160" t="n">
        <x:v>4</x:v>
      </x:c>
      <x:c r="C41" s="160" t="str">
        <x:v>24041990</x:v>
      </x:c>
      <x:c r="D41" s="160" t="str">
        <x:v>broad_other_substitute_inhalation_proxy</x:v>
      </x:c>
      <x:c r="E41" s="173" t="n">
        <x:v>1699384</x:v>
      </x:c>
      <x:c r="F41" s="173" t="n">
        <x:v>1050100</x:v>
      </x:c>
      <x:c r="G41" s="173" t="n">
        <x:v>649284</x:v>
      </x:c>
      <x:c r="H41" s="173" t="n">
        <x:v>34021</x:v>
      </x:c>
      <x:c r="I41" s="173" t="n">
        <x:v>15676</x:v>
      </x:c>
      <x:c r="J41" s="173" t="n">
        <x:v>10</x:v>
      </x:c>
      <x:c r="K41" s="174" t="n">
        <x:v>28</x:v>
      </x:c>
    </x:row>
    <x:row r="42" ht="43.20000076293945" hidden="0" customHeight="1">
      <x:c r="A42" s="159" t="n">
        <x:v>2025</x:v>
      </x:c>
      <x:c r="B42" s="160" t="n">
        <x:v>5</x:v>
      </x:c>
      <x:c r="C42" s="160" t="str">
        <x:v>24041990</x:v>
      </x:c>
      <x:c r="D42" s="160" t="str">
        <x:v>broad_other_substitute_inhalation_proxy</x:v>
      </x:c>
      <x:c r="E42" s="173" t="n">
        <x:v>1222571</x:v>
      </x:c>
      <x:c r="F42" s="173" t="n">
        <x:v>706561</x:v>
      </x:c>
      <x:c r="G42" s="173" t="n">
        <x:v>516010</x:v>
      </x:c>
      <x:c r="H42" s="173" t="n">
        <x:v>25397</x:v>
      </x:c>
      <x:c r="I42" s="173" t="n">
        <x:v>12071</x:v>
      </x:c>
      <x:c r="J42" s="173" t="n">
        <x:v>11</x:v>
      </x:c>
      <x:c r="K42" s="174" t="n">
        <x:v>28</x:v>
      </x:c>
    </x:row>
    <x:row r="43" ht="43.20000076293945" hidden="0" customHeight="1">
      <x:c r="A43" s="159" t="n">
        <x:v>2025</x:v>
      </x:c>
      <x:c r="B43" s="160" t="n">
        <x:v>6</x:v>
      </x:c>
      <x:c r="C43" s="160" t="str">
        <x:v>24041990</x:v>
      </x:c>
      <x:c r="D43" s="160" t="str">
        <x:v>broad_other_substitute_inhalation_proxy</x:v>
      </x:c>
      <x:c r="E43" s="173" t="n">
        <x:v>1174199</x:v>
      </x:c>
      <x:c r="F43" s="173" t="n">
        <x:v>648804</x:v>
      </x:c>
      <x:c r="G43" s="173" t="n">
        <x:v>525395</x:v>
      </x:c>
      <x:c r="H43" s="173" t="n">
        <x:v>23060</x:v>
      </x:c>
      <x:c r="I43" s="173" t="n">
        <x:v>11434</x:v>
      </x:c>
      <x:c r="J43" s="173" t="n">
        <x:v>13</x:v>
      </x:c>
      <x:c r="K43" s="174" t="n">
        <x:v>31</x:v>
      </x:c>
    </x:row>
    <x:row r="44" ht="43.20000076293945" hidden="0" customHeight="1">
      <x:c r="A44" s="159" t="n">
        <x:v>2025</x:v>
      </x:c>
      <x:c r="B44" s="160" t="n">
        <x:v>7</x:v>
      </x:c>
      <x:c r="C44" s="160" t="str">
        <x:v>24041990</x:v>
      </x:c>
      <x:c r="D44" s="160" t="str">
        <x:v>broad_other_substitute_inhalation_proxy</x:v>
      </x:c>
      <x:c r="E44" s="173" t="n">
        <x:v>1586797</x:v>
      </x:c>
      <x:c r="F44" s="173" t="n">
        <x:v>1026036</x:v>
      </x:c>
      <x:c r="G44" s="173" t="n">
        <x:v>560761</x:v>
      </x:c>
      <x:c r="H44" s="173" t="n">
        <x:v>30802</x:v>
      </x:c>
      <x:c r="I44" s="173" t="n">
        <x:v>16566</x:v>
      </x:c>
      <x:c r="J44" s="173" t="n">
        <x:v>13</x:v>
      </x:c>
      <x:c r="K44" s="174" t="n">
        <x:v>29</x:v>
      </x:c>
    </x:row>
    <x:row r="45" ht="43.20000076293945" hidden="0" customHeight="1">
      <x:c r="A45" s="159" t="n">
        <x:v>2025</x:v>
      </x:c>
      <x:c r="B45" s="160" t="n">
        <x:v>8</x:v>
      </x:c>
      <x:c r="C45" s="160" t="str">
        <x:v>24041990</x:v>
      </x:c>
      <x:c r="D45" s="160" t="str">
        <x:v>broad_other_substitute_inhalation_proxy</x:v>
      </x:c>
      <x:c r="E45" s="173" t="n">
        <x:v>1540944</x:v>
      </x:c>
      <x:c r="F45" s="173" t="n">
        <x:v>780948</x:v>
      </x:c>
      <x:c r="G45" s="173" t="n">
        <x:v>759996</x:v>
      </x:c>
      <x:c r="H45" s="173" t="n">
        <x:v>36139</x:v>
      </x:c>
      <x:c r="I45" s="173" t="n">
        <x:v>12583</x:v>
      </x:c>
      <x:c r="J45" s="173" t="n">
        <x:v>13</x:v>
      </x:c>
      <x:c r="K45" s="174" t="n">
        <x:v>30</x:v>
      </x:c>
    </x:row>
    <x:row r="46" ht="43.20000076293945" hidden="0" customHeight="1">
      <x:c r="A46" s="159" t="n">
        <x:v>2025</x:v>
      </x:c>
      <x:c r="B46" s="160" t="n">
        <x:v>9</x:v>
      </x:c>
      <x:c r="C46" s="160" t="str">
        <x:v>24041990</x:v>
      </x:c>
      <x:c r="D46" s="160" t="str">
        <x:v>broad_other_substitute_inhalation_proxy</x:v>
      </x:c>
      <x:c r="E46" s="173" t="n">
        <x:v>1248838</x:v>
      </x:c>
      <x:c r="F46" s="173" t="n">
        <x:v>816682</x:v>
      </x:c>
      <x:c r="G46" s="173" t="n">
        <x:v>432156</x:v>
      </x:c>
      <x:c r="H46" s="173" t="n">
        <x:v>27860</x:v>
      </x:c>
      <x:c r="I46" s="173" t="n">
        <x:v>12763</x:v>
      </x:c>
      <x:c r="J46" s="173" t="n">
        <x:v>12</x:v>
      </x:c>
      <x:c r="K46" s="174" t="n">
        <x:v>32</x:v>
      </x:c>
    </x:row>
    <x:row r="47" ht="43.20000076293945" hidden="0" customHeight="1">
      <x:c r="A47" s="159" t="n">
        <x:v>2025</x:v>
      </x:c>
      <x:c r="B47" s="160" t="n">
        <x:v>10</x:v>
      </x:c>
      <x:c r="C47" s="160" t="str">
        <x:v>24041990</x:v>
      </x:c>
      <x:c r="D47" s="160" t="str">
        <x:v>broad_other_substitute_inhalation_proxy</x:v>
      </x:c>
      <x:c r="E47" s="173" t="n">
        <x:v>840179</x:v>
      </x:c>
      <x:c r="F47" s="173" t="n">
        <x:v>536042</x:v>
      </x:c>
      <x:c r="G47" s="173" t="n">
        <x:v>304137</x:v>
      </x:c>
      <x:c r="H47" s="173" t="n">
        <x:v>26055</x:v>
      </x:c>
      <x:c r="I47" s="173" t="n">
        <x:v>9399</x:v>
      </x:c>
      <x:c r="J47" s="173" t="n">
        <x:v>12</x:v>
      </x:c>
      <x:c r="K47" s="174" t="n">
        <x:v>31</x:v>
      </x:c>
    </x:row>
    <x:row r="48" ht="43.20000076293945" hidden="0" customHeight="1">
      <x:c r="A48" s="159" t="n">
        <x:v>2025</x:v>
      </x:c>
      <x:c r="B48" s="160" t="n">
        <x:v>11</x:v>
      </x:c>
      <x:c r="C48" s="160" t="str">
        <x:v>24041990</x:v>
      </x:c>
      <x:c r="D48" s="160" t="str">
        <x:v>broad_other_substitute_inhalation_proxy</x:v>
      </x:c>
      <x:c r="E48" s="173" t="n">
        <x:v>1635855</x:v>
      </x:c>
      <x:c r="F48" s="173" t="n">
        <x:v>808478</x:v>
      </x:c>
      <x:c r="G48" s="173" t="n">
        <x:v>827377</x:v>
      </x:c>
      <x:c r="H48" s="173" t="n">
        <x:v>29716</x:v>
      </x:c>
      <x:c r="I48" s="173" t="n">
        <x:v>12620</x:v>
      </x:c>
      <x:c r="J48" s="173" t="n">
        <x:v>11</x:v>
      </x:c>
      <x:c r="K48" s="174" t="n">
        <x:v>31</x:v>
      </x:c>
    </x:row>
    <x:row r="49" ht="43.20000076293945" hidden="0" customHeight="1">
      <x:c r="A49" s="162" t="n">
        <x:v>2025</x:v>
      </x:c>
      <x:c r="B49" s="163" t="n">
        <x:v>12</x:v>
      </x:c>
      <x:c r="C49" s="163" t="str">
        <x:v>24041990</x:v>
      </x:c>
      <x:c r="D49" s="163" t="str">
        <x:v>broad_other_substitute_inhalation_proxy</x:v>
      </x:c>
      <x:c r="E49" s="175" t="n">
        <x:v>1335454</x:v>
      </x:c>
      <x:c r="F49" s="175" t="n">
        <x:v>914912</x:v>
      </x:c>
      <x:c r="G49" s="175" t="n">
        <x:v>420542</x:v>
      </x:c>
      <x:c r="H49" s="175" t="n">
        <x:v>24038</x:v>
      </x:c>
      <x:c r="I49" s="175" t="n">
        <x:v>12395</x:v>
      </x:c>
      <x:c r="J49" s="175" t="n">
        <x:v>14</x:v>
      </x:c>
      <x:c r="K49" s="176" t="n">
        <x:v>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32" hidden="0" customWidth="1"/>
  </x:cols>
  <x:sheetData>
    <x:row r="1" ht="66" hidden="0" customHeight="1">
      <x:c r="A1" s="134" t="str">
        <x:v>year</x:v>
      </x:c>
      <x:c r="B1" s="135" t="str">
        <x:v>cn8</x:v>
      </x:c>
      <x:c r="C1" s="135" t="str">
        <x:v>scope</x:v>
      </x:c>
      <x:c r="D1" s="135" t="str">
        <x:v>douane_known_non_eu_origin_import_eur</x:v>
      </x:c>
      <x:c r="E1" s="135" t="str">
        <x:v>douane_indeterminate_origin_import_eur</x:v>
      </x:c>
      <x:c r="F1" s="135" t="str">
        <x:v>douane_eu27_or_fr_origin_import_eur</x:v>
      </x:c>
      <x:c r="G1" s="135" t="str">
        <x:v>eurostat_direct_extra_eu_import_eur</x:v>
      </x:c>
      <x:c r="H1" s="135" t="str">
        <x:v>eurostat_intra_eu_consignment_import_eur</x:v>
      </x:c>
      <x:c r="I1" s="135" t="str">
        <x:v>eurostat_world_import_eur</x:v>
      </x:c>
      <x:c r="J1" s="135" t="str">
        <x:v>eurostat_parts_reconciliation_gap_eur</x:v>
      </x:c>
      <x:c r="K1" s="135" t="str">
        <x:v>origin_vs_direct_extra_classification_gap_eur</x:v>
      </x:c>
      <x:c r="L1" s="135" t="str">
        <x:v>route_interpretation</x:v>
      </x:c>
      <x:c r="M1" s="136" t="str">
        <x:v>source_url</x:v>
      </x:c>
    </x:row>
    <x:row r="2" ht="194.39999389648438" hidden="0" customHeight="1">
      <x:c r="A2" s="156" t="n">
        <x:v>2025</x:v>
      </x:c>
      <x:c r="B2" s="157" t="str">
        <x:v>85434000</x:v>
      </x:c>
      <x:c r="C2" s="157" t="str">
        <x:v>core_devices</x:v>
      </x:c>
      <x:c r="D2" s="171" t="n">
        <x:v>165047467</x:v>
      </x:c>
      <x:c r="E2" s="171" t="n">
        <x:v>162461</x:v>
      </x:c>
      <x:c r="F2" s="171" t="n">
        <x:v>26355022</x:v>
      </x:c>
      <x:c r="G2" s="171" t="n">
        <x:v>152091329</x:v>
      </x:c>
      <x:c r="H2" s="171" t="n">
        <x:v>39433982</x:v>
      </x:c>
      <x:c r="I2" s="171" t="n">
        <x:v>191525311</x:v>
      </x:c>
      <x:c r="J2" s="171" t="n">
        <x:v>0</x:v>
      </x:c>
      <x:c r="K2" s="171" t="n">
        <x:v>13118599</x:v>
      </x:c>
      <x:c r="L2" s="157" t="str">
        <x:v>National imports use origin; harmonised extra-EU imports use origin and intra-EU imports use Member State of consignment. The classification gap is not an exact re-routing amount.</x:v>
      </x:c>
      <x:c r="M2" s="158" t="str">
        <x:v>Eurostat DS-045409 (see Sources)</x:v>
      </x:c>
    </x:row>
    <x:row r="3" ht="194.39999389648438" hidden="0" customHeight="1">
      <x:c r="A3" s="159" t="n">
        <x:v>2025</x:v>
      </x:c>
      <x:c r="B3" s="160" t="str">
        <x:v>24041200</x:v>
      </x:c>
      <x:c r="C3" s="160" t="str">
        <x:v>broad_nicotine_inhalation_proxy</x:v>
      </x:c>
      <x:c r="D3" s="173" t="n">
        <x:v>146262735</x:v>
      </x:c>
      <x:c r="E3" s="173" t="n">
        <x:v>30507</x:v>
      </x:c>
      <x:c r="F3" s="173" t="n">
        <x:v>9366643</x:v>
      </x:c>
      <x:c r="G3" s="173" t="n">
        <x:v>60234155</x:v>
      </x:c>
      <x:c r="H3" s="173" t="n">
        <x:v>95359068</x:v>
      </x:c>
      <x:c r="I3" s="173" t="n">
        <x:v>155593223</x:v>
      </x:c>
      <x:c r="J3" s="173" t="n">
        <x:v>0</x:v>
      </x:c>
      <x:c r="K3" s="173" t="n">
        <x:v>86059087</x:v>
      </x:c>
      <x:c r="L3" s="160" t="str">
        <x:v>National imports use origin; harmonised extra-EU imports use origin and intra-EU imports use Member State of consignment. The classification gap is not an exact re-routing amount.</x:v>
      </x:c>
      <x:c r="M3" s="161" t="str">
        <x:v>Eurostat DS-045409 (see Sources)</x:v>
      </x:c>
    </x:row>
    <x:row r="4" ht="194.39999389648438" hidden="0" customHeight="1">
      <x:c r="A4" s="159" t="n">
        <x:v>2025</x:v>
      </x:c>
      <x:c r="B4" s="160" t="str">
        <x:v>24041910</x:v>
      </x:c>
      <x:c r="C4" s="160" t="str">
        <x:v>broad_nicotine_free_tobacco_substitute_inhalation_proxy</x:v>
      </x:c>
      <x:c r="D4" s="173" t="n">
        <x:v>15164</x:v>
      </x:c>
      <x:c r="E4" s="173" t="n">
        <x:v>10630</x:v>
      </x:c>
      <x:c r="F4" s="173" t="n">
        <x:v>0</x:v>
      </x:c>
      <x:c r="G4" s="173" t="n">
        <x:v>25794</x:v>
      </x:c>
      <x:c r="H4" s="173" t="n">
        <x:v>0</x:v>
      </x:c>
      <x:c r="I4" s="173" t="n">
        <x:v>25794</x:v>
      </x:c>
      <x:c r="J4" s="173" t="n">
        <x:v>0</x:v>
      </x:c>
      <x:c r="K4" s="173" t="n">
        <x:v>0</x:v>
      </x:c>
      <x:c r="L4" s="160" t="str">
        <x:v>National imports use origin; harmonised extra-EU imports use origin and intra-EU imports use Member State of consignment. The classification gap is not an exact re-routing amount.</x:v>
      </x:c>
      <x:c r="M4" s="161" t="str">
        <x:v>Eurostat DS-045409 (see Sources)</x:v>
      </x:c>
    </x:row>
    <x:row r="5" ht="194.39999389648438" hidden="0" customHeight="1">
      <x:c r="A5" s="162" t="n">
        <x:v>2025</x:v>
      </x:c>
      <x:c r="B5" s="163" t="str">
        <x:v>24041990</x:v>
      </x:c>
      <x:c r="C5" s="163" t="str">
        <x:v>broad_other_substitute_inhalation_proxy</x:v>
      </x:c>
      <x:c r="D5" s="175" t="n">
        <x:v>14487578</x:v>
      </x:c>
      <x:c r="E5" s="175" t="n">
        <x:v>14253</x:v>
      </x:c>
      <x:c r="F5" s="175" t="n">
        <x:v>2187521</x:v>
      </x:c>
      <x:c r="G5" s="175" t="n">
        <x:v>14138258</x:v>
      </x:c>
      <x:c r="H5" s="175" t="n">
        <x:v>2548545</x:v>
      </x:c>
      <x:c r="I5" s="175" t="n">
        <x:v>16686803</x:v>
      </x:c>
      <x:c r="J5" s="175" t="n">
        <x:v>0</x:v>
      </x:c>
      <x:c r="K5" s="175" t="n">
        <x:v>363573</x:v>
      </x:c>
      <x:c r="L5" s="163" t="str">
        <x:v>National imports use origin; harmonised extra-EU imports use origin and intra-EU imports use Member State of consignment. The classification gap is not an exact re-routing amount.</x:v>
      </x:c>
      <x:c r="M5" s="164" t="str">
        <x:v>Eurostat DS-045409 (see Sources)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</x:cols>
  <x:sheetData>
    <x:row r="1" ht="52.79999923706055" hidden="0" customHeight="1">
      <x:c r="A1" s="134" t="str">
        <x:v>year</x:v>
      </x:c>
      <x:c r="B1" s="135" t="str">
        <x:v>cn8</x:v>
      </x:c>
      <x:c r="C1" s="135" t="str">
        <x:v>scope</x:v>
      </x:c>
      <x:c r="D1" s="135" t="str">
        <x:v>rank</x:v>
      </x:c>
      <x:c r="E1" s="135" t="str">
        <x:v>origin_code</x:v>
      </x:c>
      <x:c r="F1" s="135" t="str">
        <x:v>origin_name</x:v>
      </x:c>
      <x:c r="G1" s="135" t="str">
        <x:v>import_eur</x:v>
      </x:c>
      <x:c r="H1" s="135" t="str">
        <x:v>import_kg</x:v>
      </x:c>
      <x:c r="I1" s="135" t="str">
        <x:v>share_of_code_import_value_pct</x:v>
      </x:c>
      <x:c r="J1" s="135" t="str">
        <x:v>source_rows</x:v>
      </x:c>
      <x:c r="K1" s="136" t="str">
        <x:v>origin_definition</x:v>
      </x:c>
    </x:row>
    <x:row r="2" ht="54" hidden="0" customHeight="1">
      <x:c r="A2" s="156" t="n">
        <x:v>2025</x:v>
      </x:c>
      <x:c r="B2" s="157" t="str">
        <x:v>85434000</x:v>
      </x:c>
      <x:c r="C2" s="157" t="str">
        <x:v>core_devices</x:v>
      </x:c>
      <x:c r="D2" s="157" t="n">
        <x:v>1</x:v>
      </x:c>
      <x:c r="E2" s="157" t="str">
        <x:v>CN</x:v>
      </x:c>
      <x:c r="F2" s="157" t="str">
        <x:v>Chine</x:v>
      </x:c>
      <x:c r="G2" s="165" t="n">
        <x:v>119761777</x:v>
      </x:c>
      <x:c r="H2" s="165" t="n">
        <x:v>1626379</x:v>
      </x:c>
      <x:c r="I2" s="168" t="n">
        <x:v>0.62517583</x:v>
      </x:c>
      <x:c r="J2" s="165" t="n">
        <x:v>12</x:v>
      </x:c>
      <x:c r="K2" s="158" t="str">
        <x:v>France national statistics: country of origin</x:v>
      </x:c>
    </x:row>
    <x:row r="3" ht="54" hidden="0" customHeight="1">
      <x:c r="A3" s="159" t="n">
        <x:v>2025</x:v>
      </x:c>
      <x:c r="B3" s="160" t="str">
        <x:v>85434000</x:v>
      </x:c>
      <x:c r="C3" s="160" t="str">
        <x:v>core_devices</x:v>
      </x:c>
      <x:c r="D3" s="160" t="n">
        <x:v>2</x:v>
      </x:c>
      <x:c r="E3" s="160" t="str">
        <x:v>NL</x:v>
      </x:c>
      <x:c r="F3" s="160" t="str">
        <x:v>Pays-Bas</x:v>
      </x:c>
      <x:c r="G3" s="166" t="n">
        <x:v>23249211</x:v>
      </x:c>
      <x:c r="H3" s="166" t="n">
        <x:v>58847</x:v>
      </x:c>
      <x:c r="I3" s="169" t="n">
        <x:v>0.12136464</x:v>
      </x:c>
      <x:c r="J3" s="166" t="n">
        <x:v>12</x:v>
      </x:c>
      <x:c r="K3" s="161" t="str">
        <x:v>France national statistics: country of origin</x:v>
      </x:c>
    </x:row>
    <x:row r="4" ht="54" hidden="0" customHeight="1">
      <x:c r="A4" s="159" t="n">
        <x:v>2025</x:v>
      </x:c>
      <x:c r="B4" s="160" t="str">
        <x:v>85434000</x:v>
      </x:c>
      <x:c r="C4" s="160" t="str">
        <x:v>core_devices</x:v>
      </x:c>
      <x:c r="D4" s="160" t="n">
        <x:v>3</x:v>
      </x:c>
      <x:c r="E4" s="160" t="str">
        <x:v>MY</x:v>
      </x:c>
      <x:c r="F4" s="160" t="str">
        <x:v>Malaisie</x:v>
      </x:c>
      <x:c r="G4" s="166" t="n">
        <x:v>22248478</x:v>
      </x:c>
      <x:c r="H4" s="166" t="n">
        <x:v>117537</x:v>
      </x:c>
      <x:c r="I4" s="169" t="n">
        <x:v>0.11614065</x:v>
      </x:c>
      <x:c r="J4" s="166" t="n">
        <x:v>9</x:v>
      </x:c>
      <x:c r="K4" s="161" t="str">
        <x:v>France national statistics: country of origin</x:v>
      </x:c>
    </x:row>
    <x:row r="5" ht="54" hidden="0" customHeight="1">
      <x:c r="A5" s="159" t="n">
        <x:v>2025</x:v>
      </x:c>
      <x:c r="B5" s="160" t="str">
        <x:v>85434000</x:v>
      </x:c>
      <x:c r="C5" s="160" t="str">
        <x:v>core_devices</x:v>
      </x:c>
      <x:c r="D5" s="160" t="n">
        <x:v>4</x:v>
      </x:c>
      <x:c r="E5" s="160" t="str">
        <x:v>ID</x:v>
      </x:c>
      <x:c r="F5" s="160" t="str">
        <x:v>Indonésie</x:v>
      </x:c>
      <x:c r="G5" s="166" t="n">
        <x:v>21613773</x:v>
      </x:c>
      <x:c r="H5" s="166" t="n">
        <x:v>119283</x:v>
      </x:c>
      <x:c r="I5" s="169" t="n">
        <x:v>0.11282739</x:v>
      </x:c>
      <x:c r="J5" s="166" t="n">
        <x:v>12</x:v>
      </x:c>
      <x:c r="K5" s="161" t="str">
        <x:v>France national statistics: country of origin</x:v>
      </x:c>
    </x:row>
    <x:row r="6" ht="54" hidden="0" customHeight="1">
      <x:c r="A6" s="159" t="n">
        <x:v>2025</x:v>
      </x:c>
      <x:c r="B6" s="160" t="str">
        <x:v>85434000</x:v>
      </x:c>
      <x:c r="C6" s="160" t="str">
        <x:v>core_devices</x:v>
      </x:c>
      <x:c r="D6" s="160" t="n">
        <x:v>5</x:v>
      </x:c>
      <x:c r="E6" s="160" t="str">
        <x:v>DE</x:v>
      </x:c>
      <x:c r="F6" s="160" t="str">
        <x:v>Allemagne</x:v>
      </x:c>
      <x:c r="G6" s="166" t="n">
        <x:v>1545394</x:v>
      </x:c>
      <x:c r="H6" s="166" t="n">
        <x:v>2266</x:v>
      </x:c>
      <x:c r="I6" s="169" t="n">
        <x:v>0.00806721</x:v>
      </x:c>
      <x:c r="J6" s="166" t="n">
        <x:v>12</x:v>
      </x:c>
      <x:c r="K6" s="161" t="str">
        <x:v>France national statistics: country of origin</x:v>
      </x:c>
    </x:row>
    <x:row r="7" ht="54" hidden="0" customHeight="1">
      <x:c r="A7" s="159" t="n">
        <x:v>2025</x:v>
      </x:c>
      <x:c r="B7" s="160" t="str">
        <x:v>85434000</x:v>
      </x:c>
      <x:c r="C7" s="160" t="str">
        <x:v>core_devices</x:v>
      </x:c>
      <x:c r="D7" s="160" t="n">
        <x:v>6</x:v>
      </x:c>
      <x:c r="E7" s="160" t="str">
        <x:v>BE</x:v>
      </x:c>
      <x:c r="F7" s="160" t="str">
        <x:v>Belgique</x:v>
      </x:c>
      <x:c r="G7" s="166" t="n">
        <x:v>1099325</x:v>
      </x:c>
      <x:c r="H7" s="166" t="n">
        <x:v>20449</x:v>
      </x:c>
      <x:c r="I7" s="169" t="n">
        <x:v>0.00573865</x:v>
      </x:c>
      <x:c r="J7" s="166" t="n">
        <x:v>10</x:v>
      </x:c>
      <x:c r="K7" s="161" t="str">
        <x:v>France national statistics: country of origin</x:v>
      </x:c>
    </x:row>
    <x:row r="8" ht="54" hidden="0" customHeight="1">
      <x:c r="A8" s="159" t="n">
        <x:v>2025</x:v>
      </x:c>
      <x:c r="B8" s="160" t="str">
        <x:v>85434000</x:v>
      </x:c>
      <x:c r="C8" s="160" t="str">
        <x:v>core_devices</x:v>
      </x:c>
      <x:c r="D8" s="160" t="n">
        <x:v>7</x:v>
      </x:c>
      <x:c r="E8" s="160" t="str">
        <x:v>HK</x:v>
      </x:c>
      <x:c r="F8" s="160" t="str">
        <x:v>Hong Kong</x:v>
      </x:c>
      <x:c r="G8" s="166" t="n">
        <x:v>905018</x:v>
      </x:c>
      <x:c r="H8" s="166" t="n">
        <x:v>13636</x:v>
      </x:c>
      <x:c r="I8" s="169" t="n">
        <x:v>0.0047243400000000005</x:v>
      </x:c>
      <x:c r="J8" s="166" t="n">
        <x:v>4</x:v>
      </x:c>
      <x:c r="K8" s="161" t="str">
        <x:v>France national statistics: country of origin</x:v>
      </x:c>
    </x:row>
    <x:row r="9" ht="54" hidden="0" customHeight="1">
      <x:c r="A9" s="159" t="n">
        <x:v>2025</x:v>
      </x:c>
      <x:c r="B9" s="160" t="str">
        <x:v>85434000</x:v>
      </x:c>
      <x:c r="C9" s="160" t="str">
        <x:v>core_devices</x:v>
      </x:c>
      <x:c r="D9" s="160" t="n">
        <x:v>8</x:v>
      </x:c>
      <x:c r="E9" s="160" t="str">
        <x:v>FR</x:v>
      </x:c>
      <x:c r="F9" s="160" t="str">
        <x:v>France</x:v>
      </x:c>
      <x:c r="G9" s="166" t="n">
        <x:v>343344</x:v>
      </x:c>
      <x:c r="H9" s="166" t="n">
        <x:v>3784</x:v>
      </x:c>
      <x:c r="I9" s="169" t="n">
        <x:v>0.00179231</x:v>
      </x:c>
      <x:c r="J9" s="166" t="n">
        <x:v>9</x:v>
      </x:c>
      <x:c r="K9" s="161" t="str">
        <x:v>France national statistics: country of origin</x:v>
      </x:c>
    </x:row>
    <x:row r="10" ht="54" hidden="0" customHeight="1">
      <x:c r="A10" s="159" t="n">
        <x:v>2025</x:v>
      </x:c>
      <x:c r="B10" s="160" t="str">
        <x:v>85434000</x:v>
      </x:c>
      <x:c r="C10" s="160" t="str">
        <x:v>core_devices</x:v>
      </x:c>
      <x:c r="D10" s="160" t="n">
        <x:v>9</x:v>
      </x:c>
      <x:c r="E10" s="160" t="str">
        <x:v>GB</x:v>
      </x:c>
      <x:c r="F10" s="160" t="str">
        <x:v>Royaume-Uni</x:v>
      </x:c>
      <x:c r="G10" s="166" t="n">
        <x:v>237718</x:v>
      </x:c>
      <x:c r="H10" s="166" t="n">
        <x:v>2360</x:v>
      </x:c>
      <x:c r="I10" s="169" t="n">
        <x:v>0.00124093</x:v>
      </x:c>
      <x:c r="J10" s="166" t="n">
        <x:v>12</x:v>
      </x:c>
      <x:c r="K10" s="161" t="str">
        <x:v>France national statistics: country of origin</x:v>
      </x:c>
    </x:row>
    <x:row r="11" ht="54" hidden="0" customHeight="1">
      <x:c r="A11" s="159" t="n">
        <x:v>2025</x:v>
      </x:c>
      <x:c r="B11" s="160" t="str">
        <x:v>85434000</x:v>
      </x:c>
      <x:c r="C11" s="160" t="str">
        <x:v>core_devices</x:v>
      </x:c>
      <x:c r="D11" s="160" t="n">
        <x:v>10</x:v>
      </x:c>
      <x:c r="E11" s="160" t="str">
        <x:v>QU</x:v>
      </x:c>
      <x:c r="F11" s="160" t="str">
        <x:v>Pays et territoires non déterminés</x:v>
      </x:c>
      <x:c r="G11" s="166" t="n">
        <x:v>162432</x:v>
      </x:c>
      <x:c r="H11" s="166" t="n">
        <x:v>746</x:v>
      </x:c>
      <x:c r="I11" s="169" t="n">
        <x:v>0.00084792</x:v>
      </x:c>
      <x:c r="J11" s="166" t="n">
        <x:v>11</x:v>
      </x:c>
      <x:c r="K11" s="161" t="str">
        <x:v>France national statistics: country of origin</x:v>
      </x:c>
    </x:row>
    <x:row r="12" ht="54" hidden="0" customHeight="1">
      <x:c r="A12" s="159" t="n">
        <x:v>2025</x:v>
      </x:c>
      <x:c r="B12" s="160" t="str">
        <x:v>24041200</x:v>
      </x:c>
      <x:c r="C12" s="160" t="str">
        <x:v>broad_nicotine_inhalation_proxy</x:v>
      </x:c>
      <x:c r="D12" s="160" t="n">
        <x:v>1</x:v>
      </x:c>
      <x:c r="E12" s="160" t="str">
        <x:v>CN</x:v>
      </x:c>
      <x:c r="F12" s="160" t="str">
        <x:v>Chine</x:v>
      </x:c>
      <x:c r="G12" s="166" t="n">
        <x:v>125874950</x:v>
      </x:c>
      <x:c r="H12" s="166" t="n">
        <x:v>1860018</x:v>
      </x:c>
      <x:c r="I12" s="169" t="n">
        <x:v>0.80865375</x:v>
      </x:c>
      <x:c r="J12" s="166" t="n">
        <x:v>12</x:v>
      </x:c>
      <x:c r="K12" s="161" t="str">
        <x:v>France national statistics: country of origin</x:v>
      </x:c>
    </x:row>
    <x:row r="13" ht="54" hidden="0" customHeight="1">
      <x:c r="A13" s="159" t="n">
        <x:v>2025</x:v>
      </x:c>
      <x:c r="B13" s="160" t="str">
        <x:v>24041200</x:v>
      </x:c>
      <x:c r="C13" s="160" t="str">
        <x:v>broad_nicotine_inhalation_proxy</x:v>
      </x:c>
      <x:c r="D13" s="160" t="n">
        <x:v>2</x:v>
      </x:c>
      <x:c r="E13" s="160" t="str">
        <x:v>GB</x:v>
      </x:c>
      <x:c r="F13" s="160" t="str">
        <x:v>Royaume-Uni</x:v>
      </x:c>
      <x:c r="G13" s="166" t="n">
        <x:v>11996554</x:v>
      </x:c>
      <x:c r="H13" s="166" t="n">
        <x:v>259946</x:v>
      </x:c>
      <x:c r="I13" s="169" t="n">
        <x:v>0.07706901000000001</x:v>
      </x:c>
      <x:c r="J13" s="166" t="n">
        <x:v>12</x:v>
      </x:c>
      <x:c r="K13" s="161" t="str">
        <x:v>France national statistics: country of origin</x:v>
      </x:c>
    </x:row>
    <x:row r="14" ht="54" hidden="0" customHeight="1">
      <x:c r="A14" s="159" t="n">
        <x:v>2025</x:v>
      </x:c>
      <x:c r="B14" s="160" t="str">
        <x:v>24041200</x:v>
      </x:c>
      <x:c r="C14" s="160" t="str">
        <x:v>broad_nicotine_inhalation_proxy</x:v>
      </x:c>
      <x:c r="D14" s="160" t="n">
        <x:v>3</x:v>
      </x:c>
      <x:c r="E14" s="160" t="str">
        <x:v>US</x:v>
      </x:c>
      <x:c r="F14" s="160" t="str">
        <x:v>Etats-Unis</x:v>
      </x:c>
      <x:c r="G14" s="166" t="n">
        <x:v>5680565</x:v>
      </x:c>
      <x:c r="H14" s="166" t="n">
        <x:v>197267</x:v>
      </x:c>
      <x:c r="I14" s="169" t="n">
        <x:v>0.03649344</x:v>
      </x:c>
      <x:c r="J14" s="166" t="n">
        <x:v>12</x:v>
      </x:c>
      <x:c r="K14" s="161" t="str">
        <x:v>France national statistics: country of origin</x:v>
      </x:c>
    </x:row>
    <x:row r="15" ht="54" hidden="0" customHeight="1">
      <x:c r="A15" s="159" t="n">
        <x:v>2025</x:v>
      </x:c>
      <x:c r="B15" s="160" t="str">
        <x:v>24041200</x:v>
      </x:c>
      <x:c r="C15" s="160" t="str">
        <x:v>broad_nicotine_inhalation_proxy</x:v>
      </x:c>
      <x:c r="D15" s="160" t="n">
        <x:v>4</x:v>
      </x:c>
      <x:c r="E15" s="160" t="str">
        <x:v>BE</x:v>
      </x:c>
      <x:c r="F15" s="160" t="str">
        <x:v>Belgique</x:v>
      </x:c>
      <x:c r="G15" s="166" t="n">
        <x:v>4698532</x:v>
      </x:c>
      <x:c r="H15" s="166" t="n">
        <x:v>671780</x:v>
      </x:c>
      <x:c r="I15" s="169" t="n">
        <x:v>0.030184600000000002</x:v>
      </x:c>
      <x:c r="J15" s="166" t="n">
        <x:v>12</x:v>
      </x:c>
      <x:c r="K15" s="161" t="str">
        <x:v>France national statistics: country of origin</x:v>
      </x:c>
    </x:row>
    <x:row r="16" ht="54" hidden="0" customHeight="1">
      <x:c r="A16" s="159" t="n">
        <x:v>2025</x:v>
      </x:c>
      <x:c r="B16" s="160" t="str">
        <x:v>24041200</x:v>
      </x:c>
      <x:c r="C16" s="160" t="str">
        <x:v>broad_nicotine_inhalation_proxy</x:v>
      </x:c>
      <x:c r="D16" s="160" t="n">
        <x:v>5</x:v>
      </x:c>
      <x:c r="E16" s="160" t="str">
        <x:v>NL</x:v>
      </x:c>
      <x:c r="F16" s="160" t="str">
        <x:v>Pays-Bas</x:v>
      </x:c>
      <x:c r="G16" s="166" t="n">
        <x:v>1691621</x:v>
      </x:c>
      <x:c r="H16" s="166" t="n">
        <x:v>624455</x:v>
      </x:c>
      <x:c r="I16" s="169" t="n">
        <x:v>0.010867420000000001</x:v>
      </x:c>
      <x:c r="J16" s="166" t="n">
        <x:v>12</x:v>
      </x:c>
      <x:c r="K16" s="161" t="str">
        <x:v>France national statistics: country of origin</x:v>
      </x:c>
    </x:row>
    <x:row r="17" ht="54" hidden="0" customHeight="1">
      <x:c r="A17" s="159" t="n">
        <x:v>2025</x:v>
      </x:c>
      <x:c r="B17" s="160" t="str">
        <x:v>24041200</x:v>
      </x:c>
      <x:c r="C17" s="160" t="str">
        <x:v>broad_nicotine_inhalation_proxy</x:v>
      </x:c>
      <x:c r="D17" s="160" t="n">
        <x:v>6</x:v>
      </x:c>
      <x:c r="E17" s="160" t="str">
        <x:v>ID</x:v>
      </x:c>
      <x:c r="F17" s="160" t="str">
        <x:v>Indonésie</x:v>
      </x:c>
      <x:c r="G17" s="166" t="n">
        <x:v>1403446</x:v>
      </x:c>
      <x:c r="H17" s="166" t="n">
        <x:v>6600</x:v>
      </x:c>
      <x:c r="I17" s="169" t="n">
        <x:v>0.00901611</x:v>
      </x:c>
      <x:c r="J17" s="166" t="n">
        <x:v>12</x:v>
      </x:c>
      <x:c r="K17" s="161" t="str">
        <x:v>France national statistics: country of origin</x:v>
      </x:c>
    </x:row>
    <x:row r="18" ht="54" hidden="0" customHeight="1">
      <x:c r="A18" s="159" t="n">
        <x:v>2025</x:v>
      </x:c>
      <x:c r="B18" s="160" t="str">
        <x:v>24041200</x:v>
      </x:c>
      <x:c r="C18" s="160" t="str">
        <x:v>broad_nicotine_inhalation_proxy</x:v>
      </x:c>
      <x:c r="D18" s="160" t="n">
        <x:v>7</x:v>
      </x:c>
      <x:c r="E18" s="160" t="str">
        <x:v>FR</x:v>
      </x:c>
      <x:c r="F18" s="160" t="str">
        <x:v>France</x:v>
      </x:c>
      <x:c r="G18" s="166" t="n">
        <x:v>1216435</x:v>
      </x:c>
      <x:c r="H18" s="166" t="n">
        <x:v>26435</x:v>
      </x:c>
      <x:c r="I18" s="169" t="n">
        <x:v>0.0078147</x:v>
      </x:c>
      <x:c r="J18" s="166" t="n">
        <x:v>12</x:v>
      </x:c>
      <x:c r="K18" s="161" t="str">
        <x:v>France national statistics: country of origin</x:v>
      </x:c>
    </x:row>
    <x:row r="19" ht="54" hidden="0" customHeight="1">
      <x:c r="A19" s="159" t="n">
        <x:v>2025</x:v>
      </x:c>
      <x:c r="B19" s="160" t="str">
        <x:v>24041200</x:v>
      </x:c>
      <x:c r="C19" s="160" t="str">
        <x:v>broad_nicotine_inhalation_proxy</x:v>
      </x:c>
      <x:c r="D19" s="160" t="n">
        <x:v>8</x:v>
      </x:c>
      <x:c r="E19" s="160" t="str">
        <x:v>HK</x:v>
      </x:c>
      <x:c r="F19" s="160" t="str">
        <x:v>Hong Kong</x:v>
      </x:c>
      <x:c r="G19" s="166" t="n">
        <x:v>1121821</x:v>
      </x:c>
      <x:c r="H19" s="166" t="n">
        <x:v>36650</x:v>
      </x:c>
      <x:c r="I19" s="169" t="n">
        <x:v>0.00720687</x:v>
      </x:c>
      <x:c r="J19" s="166" t="n">
        <x:v>1</x:v>
      </x:c>
      <x:c r="K19" s="161" t="str">
        <x:v>France national statistics: country of origin</x:v>
      </x:c>
    </x:row>
    <x:row r="20" ht="54" hidden="0" customHeight="1">
      <x:c r="A20" s="159" t="n">
        <x:v>2025</x:v>
      </x:c>
      <x:c r="B20" s="160" t="str">
        <x:v>24041200</x:v>
      </x:c>
      <x:c r="C20" s="160" t="str">
        <x:v>broad_nicotine_inhalation_proxy</x:v>
      </x:c>
      <x:c r="D20" s="160" t="n">
        <x:v>9</x:v>
      </x:c>
      <x:c r="E20" s="160" t="str">
        <x:v>IT</x:v>
      </x:c>
      <x:c r="F20" s="160" t="str">
        <x:v>Italie</x:v>
      </x:c>
      <x:c r="G20" s="166" t="n">
        <x:v>825260</x:v>
      </x:c>
      <x:c r="H20" s="166" t="n">
        <x:v>6087</x:v>
      </x:c>
      <x:c r="I20" s="169" t="n">
        <x:v>0.00530169</x:v>
      </x:c>
      <x:c r="J20" s="166" t="n">
        <x:v>12</x:v>
      </x:c>
      <x:c r="K20" s="161" t="str">
        <x:v>France national statistics: country of origin</x:v>
      </x:c>
    </x:row>
    <x:row r="21" ht="54" hidden="0" customHeight="1">
      <x:c r="A21" s="159" t="n">
        <x:v>2025</x:v>
      </x:c>
      <x:c r="B21" s="160" t="str">
        <x:v>24041200</x:v>
      </x:c>
      <x:c r="C21" s="160" t="str">
        <x:v>broad_nicotine_inhalation_proxy</x:v>
      </x:c>
      <x:c r="D21" s="160" t="n">
        <x:v>10</x:v>
      </x:c>
      <x:c r="E21" s="160" t="str">
        <x:v>DE</x:v>
      </x:c>
      <x:c r="F21" s="160" t="str">
        <x:v>Allemagne</x:v>
      </x:c>
      <x:c r="G21" s="166" t="n">
        <x:v>322343</x:v>
      </x:c>
      <x:c r="H21" s="166" t="n">
        <x:v>29404</x:v>
      </x:c>
      <x:c r="I21" s="169" t="n">
        <x:v>0.0020708199999999997</x:v>
      </x:c>
      <x:c r="J21" s="166" t="n">
        <x:v>12</x:v>
      </x:c>
      <x:c r="K21" s="161" t="str">
        <x:v>France national statistics: country of origin</x:v>
      </x:c>
    </x:row>
    <x:row r="22" ht="54" hidden="0" customHeight="1">
      <x:c r="A22" s="159" t="n">
        <x:v>2025</x:v>
      </x:c>
      <x:c r="B22" s="160" t="str">
        <x:v>24041910</x:v>
      </x:c>
      <x:c r="C22" s="160" t="str">
        <x:v>broad_nicotine_free_tobacco_substitute_inhalation_proxy</x:v>
      </x:c>
      <x:c r="D22" s="160" t="n">
        <x:v>1</x:v>
      </x:c>
      <x:c r="E22" s="160" t="str">
        <x:v>GB</x:v>
      </x:c>
      <x:c r="F22" s="160" t="str">
        <x:v>Royaume-Uni</x:v>
      </x:c>
      <x:c r="G22" s="166" t="n">
        <x:v>15164</x:v>
      </x:c>
      <x:c r="H22" s="166" t="n">
        <x:v>243</x:v>
      </x:c>
      <x:c r="I22" s="169" t="n">
        <x:v>0.58788866</x:v>
      </x:c>
      <x:c r="J22" s="166" t="n">
        <x:v>3</x:v>
      </x:c>
      <x:c r="K22" s="161" t="str">
        <x:v>France national statistics: country of origin</x:v>
      </x:c>
    </x:row>
    <x:row r="23" ht="54" hidden="0" customHeight="1">
      <x:c r="A23" s="159" t="n">
        <x:v>2025</x:v>
      </x:c>
      <x:c r="B23" s="160" t="str">
        <x:v>24041910</x:v>
      </x:c>
      <x:c r="C23" s="160" t="str">
        <x:v>broad_nicotine_free_tobacco_substitute_inhalation_proxy</x:v>
      </x:c>
      <x:c r="D23" s="160" t="n">
        <x:v>2</x:v>
      </x:c>
      <x:c r="E23" s="160" t="str">
        <x:v>QU</x:v>
      </x:c>
      <x:c r="F23" s="160" t="str">
        <x:v>Pays et territoires non déterminés</x:v>
      </x:c>
      <x:c r="G23" s="166" t="n">
        <x:v>10630</x:v>
      </x:c>
      <x:c r="H23" s="166" t="n">
        <x:v>200</x:v>
      </x:c>
      <x:c r="I23" s="169" t="n">
        <x:v>0.41211134</x:v>
      </x:c>
      <x:c r="J23" s="166" t="n">
        <x:v>1</x:v>
      </x:c>
      <x:c r="K23" s="161" t="str">
        <x:v>France national statistics: country of origin</x:v>
      </x:c>
    </x:row>
    <x:row r="24" ht="54" hidden="0" customHeight="1">
      <x:c r="A24" s="159" t="n">
        <x:v>2025</x:v>
      </x:c>
      <x:c r="B24" s="160" t="str">
        <x:v>24041910</x:v>
      </x:c>
      <x:c r="C24" s="160" t="str">
        <x:v>broad_nicotine_free_tobacco_substitute_inhalation_proxy</x:v>
      </x:c>
      <x:c r="D24" s="160" t="n">
        <x:v>3</x:v>
      </x:c>
      <x:c r="E24" s="160" t="str">
        <x:v>CN</x:v>
      </x:c>
      <x:c r="F24" s="160" t="str">
        <x:v>Chine</x:v>
      </x:c>
      <x:c r="G24" s="166" t="n">
        <x:v>0</x:v>
      </x:c>
      <x:c r="H24" s="166" t="n">
        <x:v>0</x:v>
      </x:c>
      <x:c r="I24" s="169" t="n">
        <x:v>0</x:v>
      </x:c>
      <x:c r="J24" s="166" t="n">
        <x:v>0</x:v>
      </x:c>
      <x:c r="K24" s="161" t="str">
        <x:v>France national statistics: country of origin</x:v>
      </x:c>
    </x:row>
    <x:row r="25" ht="54" hidden="0" customHeight="1">
      <x:c r="A25" s="159" t="n">
        <x:v>2025</x:v>
      </x:c>
      <x:c r="B25" s="160" t="str">
        <x:v>24041990</x:v>
      </x:c>
      <x:c r="C25" s="160" t="str">
        <x:v>broad_other_substitute_inhalation_proxy</x:v>
      </x:c>
      <x:c r="D25" s="160" t="n">
        <x:v>1</x:v>
      </x:c>
      <x:c r="E25" s="160" t="str">
        <x:v>GB</x:v>
      </x:c>
      <x:c r="F25" s="160" t="str">
        <x:v>Royaume-Uni</x:v>
      </x:c>
      <x:c r="G25" s="166" t="n">
        <x:v>10633587</x:v>
      </x:c>
      <x:c r="H25" s="166" t="n">
        <x:v>171074</x:v>
      </x:c>
      <x:c r="I25" s="169" t="n">
        <x:v>0.63714799</x:v>
      </x:c>
      <x:c r="J25" s="166" t="n">
        <x:v>12</x:v>
      </x:c>
      <x:c r="K25" s="161" t="str">
        <x:v>France national statistics: country of origin</x:v>
      </x:c>
    </x:row>
    <x:row r="26" ht="54" hidden="0" customHeight="1">
      <x:c r="A26" s="159" t="n">
        <x:v>2025</x:v>
      </x:c>
      <x:c r="B26" s="160" t="str">
        <x:v>24041990</x:v>
      </x:c>
      <x:c r="C26" s="160" t="str">
        <x:v>broad_other_substitute_inhalation_proxy</x:v>
      </x:c>
      <x:c r="D26" s="160" t="n">
        <x:v>2</x:v>
      </x:c>
      <x:c r="E26" s="160" t="str">
        <x:v>CN</x:v>
      </x:c>
      <x:c r="F26" s="160" t="str">
        <x:v>Chine</x:v>
      </x:c>
      <x:c r="G26" s="166" t="n">
        <x:v>1670947</x:v>
      </x:c>
      <x:c r="H26" s="166" t="n">
        <x:v>52372</x:v>
      </x:c>
      <x:c r="I26" s="169" t="n">
        <x:v>0.10012054</x:v>
      </x:c>
      <x:c r="J26" s="166" t="n">
        <x:v>12</x:v>
      </x:c>
      <x:c r="K26" s="161" t="str">
        <x:v>France national statistics: country of origin</x:v>
      </x:c>
    </x:row>
    <x:row r="27" ht="54" hidden="0" customHeight="1">
      <x:c r="A27" s="159" t="n">
        <x:v>2025</x:v>
      </x:c>
      <x:c r="B27" s="160" t="str">
        <x:v>24041990</x:v>
      </x:c>
      <x:c r="C27" s="160" t="str">
        <x:v>broad_other_substitute_inhalation_proxy</x:v>
      </x:c>
      <x:c r="D27" s="160" t="n">
        <x:v>3</x:v>
      </x:c>
      <x:c r="E27" s="160" t="str">
        <x:v>MY</x:v>
      </x:c>
      <x:c r="F27" s="160" t="str">
        <x:v>Malaisie</x:v>
      </x:c>
      <x:c r="G27" s="166" t="n">
        <x:v>1396684</x:v>
      </x:c>
      <x:c r="H27" s="166" t="n">
        <x:v>35294</x:v>
      </x:c>
      <x:c r="I27" s="169" t="n">
        <x:v>0.08368713</x:v>
      </x:c>
      <x:c r="J27" s="166" t="n">
        <x:v>12</x:v>
      </x:c>
      <x:c r="K27" s="161" t="str">
        <x:v>France national statistics: country of origin</x:v>
      </x:c>
    </x:row>
    <x:row r="28" ht="54" hidden="0" customHeight="1">
      <x:c r="A28" s="159" t="n">
        <x:v>2025</x:v>
      </x:c>
      <x:c r="B28" s="160" t="str">
        <x:v>24041990</x:v>
      </x:c>
      <x:c r="C28" s="160" t="str">
        <x:v>broad_other_substitute_inhalation_proxy</x:v>
      </x:c>
      <x:c r="D28" s="160" t="n">
        <x:v>4</x:v>
      </x:c>
      <x:c r="E28" s="160" t="str">
        <x:v>NL</x:v>
      </x:c>
      <x:c r="F28" s="160" t="str">
        <x:v>Pays-Bas</x:v>
      </x:c>
      <x:c r="G28" s="166" t="n">
        <x:v>923755</x:v>
      </x:c>
      <x:c r="H28" s="166" t="n">
        <x:v>10873</x:v>
      </x:c>
      <x:c r="I28" s="169" t="n">
        <x:v>0.05534996</x:v>
      </x:c>
      <x:c r="J28" s="166" t="n">
        <x:v>12</x:v>
      </x:c>
      <x:c r="K28" s="161" t="str">
        <x:v>France national statistics: country of origin</x:v>
      </x:c>
    </x:row>
    <x:row r="29" ht="54" hidden="0" customHeight="1">
      <x:c r="A29" s="159" t="n">
        <x:v>2025</x:v>
      </x:c>
      <x:c r="B29" s="160" t="str">
        <x:v>24041990</x:v>
      </x:c>
      <x:c r="C29" s="160" t="str">
        <x:v>broad_other_substitute_inhalation_proxy</x:v>
      </x:c>
      <x:c r="D29" s="160" t="n">
        <x:v>5</x:v>
      </x:c>
      <x:c r="E29" s="160" t="str">
        <x:v>US</x:v>
      </x:c>
      <x:c r="F29" s="160" t="str">
        <x:v>Etats-Unis</x:v>
      </x:c>
      <x:c r="G29" s="166" t="n">
        <x:v>500540</x:v>
      </x:c>
      <x:c r="H29" s="166" t="n">
        <x:v>19282</x:v>
      </x:c>
      <x:c r="I29" s="169" t="n">
        <x:v>0.02999158</x:v>
      </x:c>
      <x:c r="J29" s="166" t="n">
        <x:v>12</x:v>
      </x:c>
      <x:c r="K29" s="161" t="str">
        <x:v>France national statistics: country of origin</x:v>
      </x:c>
    </x:row>
    <x:row r="30" ht="54" hidden="0" customHeight="1">
      <x:c r="A30" s="159" t="n">
        <x:v>2025</x:v>
      </x:c>
      <x:c r="B30" s="160" t="str">
        <x:v>24041990</x:v>
      </x:c>
      <x:c r="C30" s="160" t="str">
        <x:v>broad_other_substitute_inhalation_proxy</x:v>
      </x:c>
      <x:c r="D30" s="160" t="n">
        <x:v>6</x:v>
      </x:c>
      <x:c r="E30" s="160" t="str">
        <x:v>BE</x:v>
      </x:c>
      <x:c r="F30" s="160" t="str">
        <x:v>Belgique</x:v>
      </x:c>
      <x:c r="G30" s="166" t="n">
        <x:v>463865</x:v>
      </x:c>
      <x:c r="H30" s="166" t="n">
        <x:v>8678</x:v>
      </x:c>
      <x:c r="I30" s="169" t="n">
        <x:v>0.02779407</x:v>
      </x:c>
      <x:c r="J30" s="166" t="n">
        <x:v>12</x:v>
      </x:c>
      <x:c r="K30" s="161" t="str">
        <x:v>France national statistics: country of origin</x:v>
      </x:c>
    </x:row>
    <x:row r="31" ht="54" hidden="0" customHeight="1">
      <x:c r="A31" s="159" t="n">
        <x:v>2025</x:v>
      </x:c>
      <x:c r="B31" s="160" t="str">
        <x:v>24041990</x:v>
      </x:c>
      <x:c r="C31" s="160" t="str">
        <x:v>broad_other_substitute_inhalation_proxy</x:v>
      </x:c>
      <x:c r="D31" s="160" t="n">
        <x:v>7</x:v>
      </x:c>
      <x:c r="E31" s="160" t="str">
        <x:v>FR</x:v>
      </x:c>
      <x:c r="F31" s="160" t="str">
        <x:v>France</x:v>
      </x:c>
      <x:c r="G31" s="166" t="n">
        <x:v>390812</x:v>
      </x:c>
      <x:c r="H31" s="166" t="n">
        <x:v>7875</x:v>
      </x:c>
      <x:c r="I31" s="169" t="n">
        <x:v>0.02341685</x:v>
      </x:c>
      <x:c r="J31" s="166" t="n">
        <x:v>12</x:v>
      </x:c>
      <x:c r="K31" s="161" t="str">
        <x:v>France national statistics: country of origin</x:v>
      </x:c>
    </x:row>
    <x:row r="32" ht="54" hidden="0" customHeight="1">
      <x:c r="A32" s="159" t="n">
        <x:v>2025</x:v>
      </x:c>
      <x:c r="B32" s="160" t="str">
        <x:v>24041990</x:v>
      </x:c>
      <x:c r="C32" s="160" t="str">
        <x:v>broad_other_substitute_inhalation_proxy</x:v>
      </x:c>
      <x:c r="D32" s="160" t="n">
        <x:v>8</x:v>
      </x:c>
      <x:c r="E32" s="160" t="str">
        <x:v>CA</x:v>
      </x:c>
      <x:c r="F32" s="160" t="str">
        <x:v>Canada</x:v>
      </x:c>
      <x:c r="G32" s="166" t="n">
        <x:v>234405</x:v>
      </x:c>
      <x:c r="H32" s="166" t="n">
        <x:v>3136</x:v>
      </x:c>
      <x:c r="I32" s="169" t="n">
        <x:v>0.014045179999999999</x:v>
      </x:c>
      <x:c r="J32" s="166" t="n">
        <x:v>8</x:v>
      </x:c>
      <x:c r="K32" s="161" t="str">
        <x:v>France national statistics: country of origin</x:v>
      </x:c>
    </x:row>
    <x:row r="33" ht="54" hidden="0" customHeight="1">
      <x:c r="A33" s="159" t="n">
        <x:v>2025</x:v>
      </x:c>
      <x:c r="B33" s="160" t="str">
        <x:v>24041990</x:v>
      </x:c>
      <x:c r="C33" s="160" t="str">
        <x:v>broad_other_substitute_inhalation_proxy</x:v>
      </x:c>
      <x:c r="D33" s="160" t="n">
        <x:v>9</x:v>
      </x:c>
      <x:c r="E33" s="160" t="str">
        <x:v>PL</x:v>
      </x:c>
      <x:c r="F33" s="160" t="str">
        <x:v>Pologne</x:v>
      </x:c>
      <x:c r="G33" s="166" t="n">
        <x:v>141330</x:v>
      </x:c>
      <x:c r="H33" s="166" t="n">
        <x:v>27331</x:v>
      </x:c>
      <x:c r="I33" s="169" t="n">
        <x:v>0.00846827</x:v>
      </x:c>
      <x:c r="J33" s="166" t="n">
        <x:v>12</x:v>
      </x:c>
      <x:c r="K33" s="161" t="str">
        <x:v>France national statistics: country of origin</x:v>
      </x:c>
    </x:row>
    <x:row r="34" ht="54" hidden="0" customHeight="1">
      <x:c r="A34" s="162" t="n">
        <x:v>2025</x:v>
      </x:c>
      <x:c r="B34" s="163" t="str">
        <x:v>24041990</x:v>
      </x:c>
      <x:c r="C34" s="163" t="str">
        <x:v>broad_other_substitute_inhalation_proxy</x:v>
      </x:c>
      <x:c r="D34" s="163" t="n">
        <x:v>10</x:v>
      </x:c>
      <x:c r="E34" s="163" t="str">
        <x:v>DE</x:v>
      </x:c>
      <x:c r="F34" s="163" t="str">
        <x:v>Allemagne</x:v>
      </x:c>
      <x:c r="G34" s="167" t="n">
        <x:v>128000</x:v>
      </x:c>
      <x:c r="H34" s="167" t="n">
        <x:v>4400</x:v>
      </x:c>
      <x:c r="I34" s="170" t="n">
        <x:v>0.00766956</x:v>
      </x:c>
      <x:c r="J34" s="167" t="n">
        <x:v>3</x:v>
      </x:c>
      <x:c r="K34" s="164" t="str">
        <x:v>France national statistics: country of origin</x:v>
      </x:c>
    </x:row>
    <x:row r="35">
      <x:c r="G35" s="177"/>
      <x:c r="H35" s="177"/>
      <x:c r="I35" s="14"/>
      <x:c r="J35" s="177"/>
    </x:row>
    <x:row r="36">
      <x:c r="G36" s="177"/>
      <x:c r="H36" s="177"/>
      <x:c r="I36" s="14"/>
      <x:c r="J36" s="177"/>
    </x:row>
    <x:row r="37">
      <x:c r="G37" s="177"/>
      <x:c r="H37" s="177"/>
      <x:c r="I37" s="14"/>
      <x:c r="J37" s="177"/>
    </x:row>
    <x:row r="38">
      <x:c r="G38" s="177"/>
      <x:c r="H38" s="177"/>
      <x:c r="I38" s="14"/>
      <x:c r="J38" s="177"/>
    </x:row>
    <x:row r="39">
      <x:c r="G39" s="177"/>
      <x:c r="H39" s="177"/>
      <x:c r="I39" s="14"/>
      <x:c r="J39" s="177"/>
    </x:row>
    <x:row r="40">
      <x:c r="G40" s="177"/>
      <x:c r="H40" s="177"/>
      <x:c r="I40" s="14"/>
      <x:c r="J40" s="177"/>
    </x:row>
    <x:row r="41">
      <x:c r="G41" s="177"/>
      <x:c r="H41" s="177"/>
      <x:c r="I41" s="14"/>
      <x:c r="J41" s="17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15" hidden="0" customHeight="1">
      <x:c r="A1" s="134" t="str">
        <x:v>metric</x:v>
      </x:c>
      <x:c r="B1" s="135" t="str">
        <x:v>value</x:v>
      </x:c>
      <x:c r="C1" s="135" t="str">
        <x:v>unit</x:v>
      </x:c>
      <x:c r="D1" s="135" t="str">
        <x:v>period</x:v>
      </x:c>
      <x:c r="E1" s="135" t="str">
        <x:v>status</x:v>
      </x:c>
      <x:c r="F1" s="136" t="str">
        <x:v>note</x:v>
      </x:c>
    </x:row>
    <x:row r="2" ht="75.5999984741211" hidden="0" customHeight="1">
      <x:c r="A2" s="156" t="str">
        <x:v>registry_rows</x:v>
      </x:c>
      <x:c r="B2" s="157" t="n">
        <x:v>203181</x:v>
      </x:c>
      <x:c r="C2" s="157" t="str">
        <x:v>rows</x:v>
      </x:c>
      <x:c r="D2" s="157" t="str">
        <x:v>snapshot_2026-07-01</x:v>
      </x:c>
      <x:c r="E2" s="157" t="str">
        <x:v>official_raw_declarations</x:v>
      </x:c>
      <x:c r="F2" s="158" t="str">
        <x:v>Records in the published list; not sales, active SKUs or authorised products.</x:v>
      </x:c>
    </x:row>
    <x:row r="3" ht="75.5999984741211" hidden="0" customHeight="1">
      <x:c r="A3" s="159" t="str">
        <x:v>unique_product_numbers</x:v>
      </x:c>
      <x:c r="B3" s="160" t="n">
        <x:v>111556</x:v>
      </x:c>
      <x:c r="C3" s="160" t="str">
        <x:v>distinct_identifiers</x:v>
      </x:c>
      <x:c r="D3" s="160" t="str">
        <x:v>snapshot_2026-07-01</x:v>
      </x:c>
      <x:c r="E3" s="160" t="str">
        <x:v>derived_from_official_registry</x:v>
      </x:c>
      <x:c r="F3" s="161" t="str">
        <x:v>Distinct Numéro_Produit values; one identifier can have multiple registry rows.</x:v>
      </x:c>
    </x:row>
    <x:row r="4" ht="64.80000305175781" hidden="0" customHeight="1">
      <x:c r="A4" s="159" t="str">
        <x:v>unique_references</x:v>
      </x:c>
      <x:c r="B4" s="160" t="n">
        <x:v>203181</x:v>
      </x:c>
      <x:c r="C4" s="160" t="str">
        <x:v>distinct_references</x:v>
      </x:c>
      <x:c r="D4" s="160" t="str">
        <x:v>snapshot_2026-07-01</x:v>
      </x:c>
      <x:c r="E4" s="160" t="str">
        <x:v>derived_from_official_registry</x:v>
      </x:c>
      <x:c r="F4" s="161" t="str">
        <x:v>Distinct Code_Référence values; not an active-market count.</x:v>
      </x:c>
    </x:row>
    <x:row r="5" ht="54" hidden="0" customHeight="1">
      <x:c r="A5" s="159" t="str">
        <x:v>unique_brand_strings</x:v>
      </x:c>
      <x:c r="B5" s="160" t="n">
        <x:v>16851</x:v>
      </x:c>
      <x:c r="C5" s="160" t="str">
        <x:v>distinct_strings</x:v>
      </x:c>
      <x:c r="D5" s="160" t="str">
        <x:v>snapshot_2026-07-01</x:v>
      </x:c>
      <x:c r="E5" s="160" t="str">
        <x:v>derived_from_official_registry</x:v>
      </x:c>
      <x:c r="F5" s="161" t="str">
        <x:v>Unnormalised brand strings; not a company count.</x:v>
      </x:c>
    </x:row>
    <x:row r="6" ht="54" hidden="0" customHeight="1">
      <x:c r="A6" s="159" t="str">
        <x:v>published_columns</x:v>
      </x:c>
      <x:c r="B6" s="160" t="n">
        <x:v>27</x:v>
      </x:c>
      <x:c r="C6" s="160" t="str">
        <x:v>columns</x:v>
      </x:c>
      <x:c r="D6" s="160" t="str">
        <x:v>snapshot_2026-07-01</x:v>
      </x:c>
      <x:c r="E6" s="160" t="str">
        <x:v>verified</x:v>
      </x:c>
      <x:c r="F6" s="161" t="str">
        <x:v>No annual sales field is present in the public registry file.</x:v>
      </x:c>
    </x:row>
    <x:row r="7" ht="54" hidden="0" customHeight="1">
      <x:c r="A7" s="159" t="str">
        <x:v>liquid_volume_field_population_rate</x:v>
      </x:c>
      <x:c r="B7" s="160" t="n">
        <x:v>99.792303</x:v>
      </x:c>
      <x:c r="C7" s="160" t="str">
        <x:v>percent_of_rows</x:v>
      </x:c>
      <x:c r="D7" s="160" t="str">
        <x:v>snapshot_2026-07-01</x:v>
      </x:c>
      <x:c r="E7" s="160" t="str">
        <x:v>field_completeness_not_accuracy</x:v>
      </x:c>
      <x:c r="F7" s="161" t="str">
        <x:v>202759 of 203181 rows contain a liquid-volume value.</x:v>
      </x:c>
    </x:row>
    <x:row r="8" ht="64.80000305175781" hidden="0" customHeight="1">
      <x:c r="A8" s="159" t="str">
        <x:v>nicotine_field_population_rate</x:v>
      </x:c>
      <x:c r="B8" s="160" t="n">
        <x:v>100</x:v>
      </x:c>
      <x:c r="C8" s="160" t="str">
        <x:v>percent_of_rows</x:v>
      </x:c>
      <x:c r="D8" s="160" t="str">
        <x:v>snapshot_2026-07-01</x:v>
      </x:c>
      <x:c r="E8" s="160" t="str">
        <x:v>field_completeness_not_accuracy</x:v>
      </x:c>
      <x:c r="F8" s="161" t="str">
        <x:v>203181 of 203181 rows contain a nicotine-concentration value.</x:v>
      </x:c>
    </x:row>
    <x:row r="9" ht="54" hidden="0" customHeight="1">
      <x:c r="A9" s="159" t="str">
        <x:v>rows_reporting_2_ml</x:v>
      </x:c>
      <x:c r="B9" s="160" t="n">
        <x:v>53514</x:v>
      </x:c>
      <x:c r="C9" s="160" t="str">
        <x:v>rows</x:v>
      </x:c>
      <x:c r="D9" s="160" t="str">
        <x:v>snapshot_2026-07-01</x:v>
      </x:c>
      <x:c r="E9" s="160" t="str">
        <x:v>declared_characteristic_not_sales</x:v>
      </x:c>
      <x:c r="F9" s="161" t="str">
        <x:v>Count of registry rows reporting 2 ml; no sales weighting.</x:v>
      </x:c>
    </x:row>
    <x:row r="10" ht="54" hidden="0" customHeight="1">
      <x:c r="A10" s="159" t="str">
        <x:v>rows_reporting_10_ml</x:v>
      </x:c>
      <x:c r="B10" s="160" t="n">
        <x:v>141065</x:v>
      </x:c>
      <x:c r="C10" s="160" t="str">
        <x:v>rows</x:v>
      </x:c>
      <x:c r="D10" s="160" t="str">
        <x:v>snapshot_2026-07-01</x:v>
      </x:c>
      <x:c r="E10" s="160" t="str">
        <x:v>declared_characteristic_not_sales</x:v>
      </x:c>
      <x:c r="F10" s="161" t="str">
        <x:v>Count of registry rows reporting 10 ml; no sales weighting.</x:v>
      </x:c>
    </x:row>
    <x:row r="11" ht="86.4000015258789" hidden="0" customHeight="1">
      <x:c r="A11" s="162" t="str">
        <x:v>rows_reporting_nicotine_above_20_mg_ml</x:v>
      </x:c>
      <x:c r="B11" s="163" t="n">
        <x:v>860</x:v>
      </x:c>
      <x:c r="C11" s="163" t="str">
        <x:v>rows</x:v>
      </x:c>
      <x:c r="D11" s="163" t="str">
        <x:v>snapshot_2026-07-01</x:v>
      </x:c>
      <x:c r="E11" s="163" t="str">
        <x:v>raw_declaration_quality_flag</x:v>
      </x:c>
      <x:c r="F11" s="164" t="str">
        <x:v>A declaration flag only; ANSES warns it does not guarantee raw-content accuracy.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18" hidden="0" customWidth="1"/>
    <x:col min="4" max="4" width="18" hidden="0" customWidth="1"/>
    <x:col min="5" max="5" width="34" hidden="0" customWidth="1"/>
    <x:col min="6" max="6" width="42" hidden="0" customWidth="1"/>
  </x:cols>
  <x:sheetData>
    <x:row r="1" ht="39.599998474121094" hidden="0" customHeight="1">
      <x:c r="A1" s="134" t="str">
        <x:v>snapshot</x:v>
      </x:c>
      <x:c r="B1" s="135" t="str">
        <x:v>product_type</x:v>
      </x:c>
      <x:c r="C1" s="135" t="str">
        <x:v>registry_rows</x:v>
      </x:c>
      <x:c r="D1" s="135" t="str">
        <x:v>share_of_registry_rows_pct</x:v>
      </x:c>
      <x:c r="E1" s="135" t="str">
        <x:v>classification</x:v>
      </x:c>
      <x:c r="F1" s="136" t="str">
        <x:v>source_url</x:v>
      </x:c>
    </x:row>
    <x:row r="2" ht="54" hidden="0" customHeight="1">
      <x:c r="A2" s="156" t="str">
        <x:v>2026-07-01</x:v>
      </x:c>
      <x:c r="B2" s="157" t="str">
        <x:v>Flacon ou cartouche de recharge avec e-liquide</x:v>
      </x:c>
      <x:c r="C2" s="157" t="n">
        <x:v>186992</x:v>
      </x:c>
      <x:c r="D2" s="168" t="n">
        <x:v>0.9203222700000001</x:v>
      </x:c>
      <x:c r="E2" s="157" t="str">
        <x:v>declared_registry_records_not_sales_or_active_skus</x:v>
      </x:c>
      <x:c r="F2" s="158" t="str">
        <x:v>ANSES data.gouv.fr (see Sources)</x:v>
      </x:c>
    </x:row>
    <x:row r="3" ht="54" hidden="0" customHeight="1">
      <x:c r="A3" s="159" t="str">
        <x:v>2026-07-01</x:v>
      </x:c>
      <x:c r="B3" s="160" t="str">
        <x:v>Vapoteuse remplissable avec e-liquide</x:v>
      </x:c>
      <x:c r="C3" s="160" t="n">
        <x:v>5345</x:v>
      </x:c>
      <x:c r="D3" s="169" t="n">
        <x:v>0.02630659</x:v>
      </x:c>
      <x:c r="E3" s="160" t="str">
        <x:v>declared_registry_records_not_sales_or_active_skus</x:v>
      </x:c>
      <x:c r="F3" s="161" t="str">
        <x:v>ANSES data.gouv.fr (see Sources)</x:v>
      </x:c>
    </x:row>
    <x:row r="4" ht="54" hidden="0" customHeight="1">
      <x:c r="A4" s="159" t="str">
        <x:v>2026-07-01</x:v>
      </x:c>
      <x:c r="B4" s="160" t="str">
        <x:v>Vapoteuse rechargeable avec e-liquide</x:v>
      </x:c>
      <x:c r="C4" s="160" t="n">
        <x:v>4682</x:v>
      </x:c>
      <x:c r="D4" s="169" t="n">
        <x:v>0.023043490000000003</x:v>
      </x:c>
      <x:c r="E4" s="160" t="str">
        <x:v>declared_registry_records_not_sales_or_active_skus</x:v>
      </x:c>
      <x:c r="F4" s="161" t="str">
        <x:v>ANSES data.gouv.fr (see Sources)</x:v>
      </x:c>
    </x:row>
    <x:row r="5" ht="54" hidden="0" customHeight="1">
      <x:c r="A5" s="159" t="str">
        <x:v>2026-07-01</x:v>
      </x:c>
      <x:c r="B5" s="160" t="str">
        <x:v>Kit</x:v>
      </x:c>
      <x:c r="C5" s="160" t="n">
        <x:v>2448</x:v>
      </x:c>
      <x:c r="D5" s="169" t="n">
        <x:v>0.01204837</x:v>
      </x:c>
      <x:c r="E5" s="160" t="str">
        <x:v>declared_registry_records_not_sales_or_active_skus</x:v>
      </x:c>
      <x:c r="F5" s="161" t="str">
        <x:v>ANSES data.gouv.fr (see Sources)</x:v>
      </x:c>
    </x:row>
    <x:row r="6" ht="54" hidden="0" customHeight="1">
      <x:c r="A6" s="159" t="str">
        <x:v>2026-07-01</x:v>
      </x:c>
      <x:c r="B6" s="160" t="str">
        <x:v>Accessoire de vapoteuse</x:v>
      </x:c>
      <x:c r="C6" s="160" t="n">
        <x:v>2429</x:v>
      </x:c>
      <x:c r="D6" s="169" t="n">
        <x:v>0.011954860000000001</x:v>
      </x:c>
      <x:c r="E6" s="160" t="str">
        <x:v>declared_registry_records_not_sales_or_active_skus</x:v>
      </x:c>
      <x:c r="F6" s="161" t="str">
        <x:v>ANSES data.gouv.fr (see Sources)</x:v>
      </x:c>
    </x:row>
    <x:row r="7" ht="54" hidden="0" customHeight="1">
      <x:c r="A7" s="159" t="str">
        <x:v>2026-07-01</x:v>
      </x:c>
      <x:c r="B7" s="160" t="str">
        <x:v>Autre</x:v>
      </x:c>
      <x:c r="C7" s="160" t="n">
        <x:v>680</x:v>
      </x:c>
      <x:c r="D7" s="169" t="n">
        <x:v>0.00334677</x:v>
      </x:c>
      <x:c r="E7" s="160" t="str">
        <x:v>declared_registry_records_not_sales_or_active_skus</x:v>
      </x:c>
      <x:c r="F7" s="161" t="str">
        <x:v>ANSES data.gouv.fr (see Sources)</x:v>
      </x:c>
    </x:row>
    <x:row r="8" ht="54" hidden="0" customHeight="1">
      <x:c r="A8" s="159" t="str">
        <x:v>2026-07-01</x:v>
      </x:c>
      <x:c r="B8" s="160" t="str">
        <x:v>Vapoteuse rechargeable</x:v>
      </x:c>
      <x:c r="C8" s="160" t="n">
        <x:v>358</x:v>
      </x:c>
      <x:c r="D8" s="169" t="n">
        <x:v>0.00176198</x:v>
      </x:c>
      <x:c r="E8" s="160" t="str">
        <x:v>declared_registry_records_not_sales_or_active_skus</x:v>
      </x:c>
      <x:c r="F8" s="161" t="str">
        <x:v>ANSES data.gouv.fr (see Sources)</x:v>
      </x:c>
    </x:row>
    <x:row r="9" ht="54" hidden="0" customHeight="1">
      <x:c r="A9" s="162" t="str">
        <x:v>2026-07-01</x:v>
      </x:c>
      <x:c r="B9" s="163" t="str">
        <x:v>Vapoteuse remplissable</x:v>
      </x:c>
      <x:c r="C9" s="163" t="n">
        <x:v>247</x:v>
      </x:c>
      <x:c r="D9" s="170" t="n">
        <x:v>0.00121566</x:v>
      </x:c>
      <x:c r="E9" s="163" t="str">
        <x:v>declared_registry_records_not_sales_or_active_skus</x:v>
      </x:c>
      <x:c r="F9" s="164" t="str">
        <x:v>ANSES data.gouv.fr (see Sources)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52.79999923706055" hidden="0" customHeight="1">
      <x:c r="A1" s="134" t="str">
        <x:v>sales_year</x:v>
      </x:c>
      <x:c r="B1" s="135" t="str">
        <x:v>expected_product_presentations</x:v>
      </x:c>
      <x:c r="C1" s="135" t="str">
        <x:v>sales_data_transmitted</x:v>
      </x:c>
      <x:c r="D1" s="135" t="str">
        <x:v>sales_data_missing</x:v>
      </x:c>
      <x:c r="E1" s="135" t="str">
        <x:v>submission_hit_rate_pct</x:v>
      </x:c>
      <x:c r="F1" s="135" t="str">
        <x:v>source_report_page</x:v>
      </x:c>
      <x:c r="G1" s="135" t="str">
        <x:v>anses_conclusion</x:v>
      </x:c>
      <x:c r="H1" s="136" t="str">
        <x:v>source_url</x:v>
      </x:c>
    </x:row>
    <x:row r="2" ht="54" hidden="0" customHeight="1">
      <x:c r="A2" s="156" t="str">
        <x:v>2016</x:v>
      </x:c>
      <x:c r="B2" s="165" t="n">
        <x:v>27579</x:v>
      </x:c>
      <x:c r="C2" s="165" t="n">
        <x:v>8813</x:v>
      </x:c>
      <x:c r="D2" s="165" t="n">
        <x:v>18766</x:v>
      </x:c>
      <x:c r="E2" s="168" t="n">
        <x:v>0.31955473</x:v>
      </x:c>
      <x:c r="F2" s="157" t="str">
        <x:v>ANSES report page 38-39 (PDF pages 40-41)</x:v>
      </x:c>
      <x:c r="G2" s="157" t="str">
        <x:v>sales_volumes_not_exploitable_due_to_missing_submissions</x:v>
      </x:c>
      <x:c r="H2" s="158" t="str">
        <x:v>ANSES report (see Sources)</x:v>
      </x:c>
    </x:row>
    <x:row r="3" ht="54" hidden="0" customHeight="1">
      <x:c r="A3" s="159" t="str">
        <x:v>2017</x:v>
      </x:c>
      <x:c r="B3" s="166" t="n">
        <x:v>38220</x:v>
      </x:c>
      <x:c r="C3" s="166" t="n">
        <x:v>14223</x:v>
      </x:c>
      <x:c r="D3" s="166" t="n">
        <x:v>23997</x:v>
      </x:c>
      <x:c r="E3" s="169" t="n">
        <x:v>0.37213501</x:v>
      </x:c>
      <x:c r="F3" s="160" t="str">
        <x:v>ANSES report page 38-39 (PDF pages 40-41)</x:v>
      </x:c>
      <x:c r="G3" s="160" t="str">
        <x:v>sales_volumes_not_exploitable_due_to_missing_submissions</x:v>
      </x:c>
      <x:c r="H3" s="161" t="str">
        <x:v>ANSES report (see Sources)</x:v>
      </x:c>
    </x:row>
    <x:row r="4" ht="54" hidden="0" customHeight="1">
      <x:c r="A4" s="162" t="str">
        <x:v>2016-2017_combined</x:v>
      </x:c>
      <x:c r="B4" s="167" t="n">
        <x:v>65799</x:v>
      </x:c>
      <x:c r="C4" s="167" t="n">
        <x:v>23036</x:v>
      </x:c>
      <x:c r="D4" s="167" t="n">
        <x:v>42763</x:v>
      </x:c>
      <x:c r="E4" s="170" t="n">
        <x:v>0.35009650999999997</x:v>
      </x:c>
      <x:c r="F4" s="163" t="str">
        <x:v>ANSES report page 38-39 (PDF pages 40-41)</x:v>
      </x:c>
      <x:c r="G4" s="163" t="str">
        <x:v>sales_volumes_not_exploitable_due_to_missing_submissions</x:v>
      </x:c>
      <x:c r="H4" s="164" t="str">
        <x:v>ANSES report (see Sources)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6" hidden="0" customWidth="1"/>
    <x:col min="5" max="5" width="42" hidden="0" customWidth="1"/>
    <x:col min="6" max="6" width="34" hidden="0" customWidth="1"/>
    <x:col min="7" max="7" width="48" hidden="0" customWidth="1"/>
  </x:cols>
  <x:sheetData>
    <x:row r="1" ht="39.599998474121094" hidden="0" customHeight="1">
      <x:c r="A1" s="134" t="str">
        <x:v>Source</x:v>
      </x:c>
      <x:c r="B1" s="135" t="str">
        <x:v>Authority</x:v>
      </x:c>
      <x:c r="C1" s="135" t="str">
        <x:v>Period</x:v>
      </x:c>
      <x:c r="D1" s="135" t="str">
        <x:v>URL</x:v>
      </x:c>
      <x:c r="E1" s="135" t="str">
        <x:v>Local evidence file</x:v>
      </x:c>
      <x:c r="F1" s="135" t="str">
        <x:v>SHA-256</x:v>
      </x:c>
      <x:c r="G1" s="136" t="str">
        <x:v>Audit use / limitation</x:v>
      </x:c>
    </x:row>
    <x:row r="2" ht="75.5999984741211" hidden="0" customHeight="1">
      <x:c r="A2" s="156" t="str">
        <x:v>France national imports</x:v>
      </x:c>
      <x:c r="B2" s="157" t="str">
        <x:v>DGDDI / DSECE</x:v>
      </x:c>
      <x:c r="C2" s="157" t="str">
        <x:v>2025</x:v>
      </x:c>
      <x:c r="D2" s="157" t="str">
        <x:v>https://www.douane.gouv.fr/la-douane/opendata</x:v>
      </x:c>
      <x:c r="E2" s="157" t="str">
        <x:v>data/raw/france_douane/202605-National-2025-import.zip</x:v>
      </x:c>
      <x:c r="F2" s="157" t="str">
        <x:v>b80420bc53c020bd9ce1aebf18b75f5c7d29c98eb9ee6abcb15097bb9839982f</x:v>
      </x:c>
      <x:c r="G2" s="158" t="str">
        <x:v>Country of origin; raw collection; border value, not sales.</x:v>
      </x:c>
    </x:row>
    <x:row r="3" ht="75.5999984741211" hidden="0" customHeight="1">
      <x:c r="A3" s="159" t="str">
        <x:v>France national exports</x:v>
      </x:c>
      <x:c r="B3" s="160" t="str">
        <x:v>DGDDI / DSECE</x:v>
      </x:c>
      <x:c r="C3" s="160" t="str">
        <x:v>2025</x:v>
      </x:c>
      <x:c r="D3" s="160" t="str">
        <x:v>https://www.douane.gouv.fr/la-douane/opendata</x:v>
      </x:c>
      <x:c r="E3" s="160" t="str">
        <x:v>data/raw/france_douane/202605-National-2025-export.zip</x:v>
      </x:c>
      <x:c r="F3" s="160" t="str">
        <x:v>4e6f48896d53351176ca940af6d19c12922dff7775aaa804cce1997bae945a19</x:v>
      </x:c>
      <x:c r="G3" s="161" t="str">
        <x:v>Final destination; includes re-exports; border value, not sales.</x:v>
      </x:c>
    </x:row>
    <x:row r="4" ht="86.4000015258789" hidden="0" customHeight="1">
      <x:c r="A4" s="159" t="str">
        <x:v>France customs methodology</x:v>
      </x:c>
      <x:c r="B4" s="160" t="str">
        <x:v>DGDDI / DSECE</x:v>
      </x:c>
      <x:c r="C4" s="160" t="str">
        <x:v>Method current for file</x:v>
      </x:c>
      <x:c r="D4" s="160" t="str">
        <x:v>https://www.douane.gouv.fr/fiche/consulter-les-statistiques-du-commerce-exterieur-de-la-france</x:v>
      </x:c>
      <x:c r="E4" s="160" t="str">
        <x:v>data/raw/france_douane/Description-des-jeux-de-donnees-derniere-publication_EMEBI.pdf</x:v>
      </x:c>
      <x:c r="F4" s="160" t="str">
        <x:v>dc925337f91492ebf87642b47c94e629f9b0cadcf045dcb333689b966a9f0098</x:v>
      </x:c>
      <x:c r="G4" s="161" t="str">
        <x:v>Defines special trade, origin/destination, EUR, kg and raw non-response caveat.</x:v>
      </x:c>
    </x:row>
    <x:row r="5" ht="75.5999984741211" hidden="0" customHeight="1">
      <x:c r="A5" s="159" t="str">
        <x:v>France route bridge</x:v>
      </x:c>
      <x:c r="B5" s="160" t="str">
        <x:v>Eurostat Comext</x:v>
      </x:c>
      <x:c r="C5" s="160" t="str">
        <x:v>2025</x:v>
      </x:c>
      <x:c r="D5" s="160" t="str">
        <x:v>https://ec.europa.eu/eurostat/cache/metadata/en/ext_go_detail_sims.htm</x:v>
      </x:c>
      <x:c r="E5" s="160" t="str">
        <x:v>data/raw/france_douane/eurostat_france_cn8_2025.json</x:v>
      </x:c>
      <x:c r="F5" s="160" t="str">
        <x:v>17baee1878568bbfb107a7089c023f2e279812e5ef3fa9dd7fc5b41233b59310</x:v>
      </x:c>
      <x:c r="G5" s="161" t="str">
        <x:v>WORLD reconciles to intra + extra; intra import partner is consignment country.</x:v>
      </x:c>
    </x:row>
    <x:row r="6" ht="97.19999694824219" hidden="0" customHeight="1">
      <x:c r="A6" s="159" t="str">
        <x:v>Vaping registry</x:v>
      </x:c>
      <x:c r="B6" s="160" t="str">
        <x:v>ANSES / data.gouv.fr</x:v>
      </x:c>
      <x:c r="C6" s="160" t="str">
        <x:v>Snapshot 2026-07-01</x:v>
      </x:c>
      <x:c r="D6" s="160" t="str">
        <x:v>https://www.data.gouv.fr/en/datasets/produits-du-tabac-et-produits-connexes-declares-sur-le-marche-francais/</x:v>
      </x:c>
      <x:c r="E6" s="160" t="str">
        <x:v>data/raw/france_anses/liste-fr-vapotage_2026-07-01.csv</x:v>
      </x:c>
      <x:c r="F6" s="160" t="str">
        <x:v>ccfb39dee39236b3baa867fb2cbbdd10003a02913fa83c53d8f69811917ef78d</x:v>
      </x:c>
      <x:c r="G6" s="161" t="str">
        <x:v>Raw declaration records; no public annual sales field.</x:v>
      </x:c>
    </x:row>
    <x:row r="7" ht="75.5999984741211" hidden="0" customHeight="1">
      <x:c r="A7" s="162" t="str">
        <x:v>Sales coverage audit</x:v>
      </x:c>
      <x:c r="B7" s="163" t="str">
        <x:v>ANSES</x:v>
      </x:c>
      <x:c r="C7" s="163" t="str">
        <x:v>2016-2017</x:v>
      </x:c>
      <x:c r="D7" s="163" t="str">
        <x:v>https://www.anses.fr/fr/system/files/CONSO2018SA0189Ra-2.pdf</x:v>
      </x:c>
      <x:c r="E7" s="163" t="str">
        <x:v>data/raw/france_anses/anses_vaping_declarations_report_2016_2020.pdf</x:v>
      </x:c>
      <x:c r="F7" s="163" t="str">
        <x:v>ecfd74051a1c9b03d26cc0c6590cd42a448d9ecbe6ad548c7e6c3489232ed868</x:v>
      </x:c>
      <x:c r="G7" s="164" t="str">
        <x:v>ANSES methodology and conclusion that volumes were not exploitable.</x:v>
      </x:c>
    </x:row>
  </x:sheetData>
  <x:pageMargins left="0.7" right="0.7" top="0.75" bottom="0.75" header="0.3" footer="0.3"/>
  <x:legacyDrawing xmlns:r="http://schemas.openxmlformats.org/officeDocument/2006/relationships" r:id="Rfae1272ca75e4e7c"/>
</x:worksheet>
</file>